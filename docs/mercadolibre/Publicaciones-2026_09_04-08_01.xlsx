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yuda" sheetId="1" r:id="rId4"/>
    <sheet name="hidden" r:id="rId5" sheetId="2" state="veryHidden"/>
    <sheet name="Publicaciones" r:id="rId6" sheetId="3"/>
  </sheets>
  <calcPr/>
</workbook>
</file>

<file path=xl/sharedStrings.xml><?xml version="1.0" encoding="utf-8"?>
<sst xmlns="http://schemas.openxmlformats.org/spreadsheetml/2006/main" count="524" uniqueCount="226">
  <si>
    <t>Modifica tus publicaciones</t>
  </si>
  <si>
    <t>Cambia los datos de tus productos mucho más rápido.</t>
  </si>
  <si>
    <t>Publicaciones</t>
  </si>
  <si>
    <t>¿Ya completaste los datos?</t>
  </si>
  <si>
    <t>Cuando termines, recuerda guardar y</t>
  </si>
  <si>
    <t>Ten en cuenta que...</t>
  </si>
  <si>
    <t>Solo tienes que modificar o editar las celdas con color de fondo blanco.</t>
  </si>
  <si>
    <t>Desde este excel no vas a poder agregar o quitar publicaciones ni imágenes del producto.</t>
  </si>
  <si>
    <t>Recordá mantener el orden de las columnas para que podamos identificar lo que completes.</t>
  </si>
  <si>
    <t>¿Qué significa cada color de las celdas?</t>
  </si>
  <si>
    <t>Son las que debes completar.</t>
  </si>
  <si>
    <t xml:space="preserve">   Publicación principal</t>
  </si>
  <si>
    <t xml:space="preserve">No podés modificarla.                </t>
  </si>
  <si>
    <t>Variante</t>
  </si>
  <si>
    <t>Subir la planilla excel</t>
  </si>
  <si>
    <t>Hacelo antes del 11 de Septiembre</t>
  </si>
  <si>
    <t>¿Cómo utilizar estas columnas?</t>
  </si>
  <si>
    <t>Estas son las columnas que están agrupadas. Podés desplegarlas presionando el más [+] o reducirlas presionando en el menos [-] en la parte superior.</t>
  </si>
  <si>
    <t>Título del producto</t>
  </si>
  <si>
    <t>2688bf94-e0db-4854-af7e-70dc125cf1fc</t>
  </si>
  <si>
    <t>FAMILY_ID</t>
  </si>
  <si>
    <t/>
  </si>
  <si>
    <t>Agrupador de variantes</t>
  </si>
  <si>
    <t>ITEM_ID</t>
  </si>
  <si>
    <t>Número de publicación</t>
  </si>
  <si>
    <t>PRODUCT_NUMBER</t>
  </si>
  <si>
    <t>Número de producto</t>
  </si>
  <si>
    <t>VARIATION_ID</t>
  </si>
  <si>
    <t>Número de variante</t>
  </si>
  <si>
    <t>SKU</t>
  </si>
  <si>
    <t>TITLE</t>
  </si>
  <si>
    <t>Título</t>
  </si>
  <si>
    <t>VARIATIONS</t>
  </si>
  <si>
    <t>Variantes</t>
  </si>
  <si>
    <t>STOCK_FLEX</t>
  </si>
  <si>
    <t>Obligatorio</t>
  </si>
  <si>
    <t>En mi depósito</t>
  </si>
  <si>
    <t>STOCK_FULL</t>
  </si>
  <si>
    <t>En full
(Bodega de ML)</t>
  </si>
  <si>
    <t>Información de stock</t>
  </si>
  <si>
    <t>PRICE</t>
  </si>
  <si>
    <t>Precio</t>
  </si>
  <si>
    <t>VALUE_ADDED_TAX</t>
  </si>
  <si>
    <t>IVA</t>
  </si>
  <si>
    <t>IMPORT_DUTY</t>
  </si>
  <si>
    <t>Impuesto interno</t>
  </si>
  <si>
    <t>CURRENCY_ID</t>
  </si>
  <si>
    <t>Moneda</t>
  </si>
  <si>
    <t>TIERED_PRICING_PRICE_1</t>
  </si>
  <si>
    <t>Precio de cada unidad</t>
  </si>
  <si>
    <t>TIERED_PRICING_QUANTITY_1</t>
  </si>
  <si>
    <t>Cantidad mínima de compra</t>
  </si>
  <si>
    <t>TIERED_PRICING_PRICE_2</t>
  </si>
  <si>
    <t>TIERED_PRICING_QUANTITY_2</t>
  </si>
  <si>
    <t>TIERED_PRICING_PRICE_3</t>
  </si>
  <si>
    <t>TIERED_PRICING_QUANTITY_3</t>
  </si>
  <si>
    <t>TIERED_PRICING_PRICE_4</t>
  </si>
  <si>
    <t>TIERED_PRICING_QUANTITY_4</t>
  </si>
  <si>
    <t>TIERED_PRICING_PRICE_5</t>
  </si>
  <si>
    <t>TIERED_PRICING_QUANTITY_5</t>
  </si>
  <si>
    <t>Precio mayorista 5 [ML]</t>
  </si>
  <si>
    <t>Precio mayorista 4 [ML]</t>
  </si>
  <si>
    <t>Precio mayorista 3 [ML]</t>
  </si>
  <si>
    <t>Precio mayorista 2 [ML]</t>
  </si>
  <si>
    <t>Precio mayorista 1 [ML]</t>
  </si>
  <si>
    <t>CONDITION</t>
  </si>
  <si>
    <t>Condición</t>
  </si>
  <si>
    <t>DESCRIPTION</t>
  </si>
  <si>
    <t>Descripción</t>
  </si>
  <si>
    <t>Información del producto</t>
  </si>
  <si>
    <t>SHIPPING_METHOD</t>
  </si>
  <si>
    <t>Forma de entrega</t>
  </si>
  <si>
    <t>Condiciones de entrega</t>
  </si>
  <si>
    <t>STATUS</t>
  </si>
  <si>
    <t>Estado</t>
  </si>
  <si>
    <t>CATEGORY</t>
  </si>
  <si>
    <t>Categoría</t>
  </si>
  <si>
    <t>FEE_PER_SALE_MARKETPLACE_V2</t>
  </si>
  <si>
    <t>Cargos por vender</t>
  </si>
  <si>
    <t>LISTING_TYPE_V3</t>
  </si>
  <si>
    <t>Cuotas</t>
  </si>
  <si>
    <t>COST_OF_FINANCING_MARKETPLACE</t>
  </si>
  <si>
    <t>Costo por ofrecer cuotas</t>
  </si>
  <si>
    <t>Condiciones de publicación</t>
  </si>
  <si>
    <t>No podés modificar esta columna porque está en el centro de almacenamiento.</t>
  </si>
  <si>
    <t>Indica los impuestos que aplican sobre tu precio para que podamos sumar el "Precio sin impuestos" en tu publicación y cumplir con el régimen de transparencia fiscal.</t>
  </si>
  <si>
    <t>Si cambiás la moneda en una publicación, asegurate de revisar todos sus precios.</t>
  </si>
  <si>
    <t>A menor precio de cada unidad, mayor debe ser la cantidad mínima de compra.
Para eliminar un precio mayorista, escribí "0" o dejá las celdas de precio y cantidad vacías.</t>
  </si>
  <si>
    <t>Indicá la condición del producto y evitá reclamos de tus compradores.</t>
  </si>
  <si>
    <r>
      <t>Indicá la condición del producto y evitá reclamos de tus compradores.</t>
    </r>
    <r>
      <rPr>
        <b val="true"/>
        <u val="single"/>
        <color rgb="FF0E3D85"/>
        <sz val="10.0"/>
        <rFont val="Proxima Nova"/>
      </rPr>
      <t xml:space="preserve"> 
Identificar la condición del producto</t>
    </r>
  </si>
  <si>
    <t>Es el cargo que pagarás por cada venta concretada.</t>
  </si>
  <si>
    <t>Algunas opciones no están disponibles en este editor.</t>
  </si>
  <si>
    <t>Este costo varía dependiendo de las opciones de cuotas que agregues en tu publicación.</t>
  </si>
  <si>
    <t>4862213535609797</t>
  </si>
  <si>
    <t>MLA1471490163</t>
  </si>
  <si>
    <t>U2956252787</t>
  </si>
  <si>
    <t>Base Viga De Madera 3 X 3 Para Pergolas</t>
  </si>
  <si>
    <t>-</t>
  </si>
  <si>
    <t>21 %</t>
  </si>
  <si>
    <t>0 %</t>
  </si>
  <si>
    <t>$</t>
  </si>
  <si>
    <t>Nuevo</t>
  </si>
  <si>
    <t>ETIMADO CLIENTE RECUERDE QUE EL PEDIDO PUEDE TARDAR HASTA 7 DIAS EN LLEGAR DESDE YA MUCHAS GRACIAS HERRERIA VYV.
La Base Viga De Madera 3 X 3 Para Pergolas de la marca VyV es una pieza artesanal diseñada para ofrecer un soporte robusto y estético a tus vigas. Con un acabado en negro mate, esta pieza no solo es funcional, sino que también aporta un toque moderno y elegante a cualquier estructura de pérgola.
Fabricada en acero de alta calidad, esta base tiene un espesor de 1.6 mm, lo que garantiza su durabilidad y resistencia. Sus dimensiones de 15 cm de largo y 8 cm de ancho la hacen ideal para adaptarse a diferentes configuraciones de vigas, asegurando una instalación segura y estable.
El diseño cuadrado de la base permite una fácil integración en diversos estilos arquitectónicos, desde los más clásicos hasta los contemporáneos. La pintura secadora al horno no solo proporciona un acabado atractivo, sino que también protege la pieza de las inclemencias del tiempo, asegurando su longevidad.
Optar por la Base Viga De Madera 3 X 3 Para Pergolas es elegir calidad y estilo para tus proyectos de construcción o renovación. Mejora la experiencia de tus espacios exteriores con un soporte que combina funcionalidad y diseño.</t>
  </si>
  <si>
    <t>Envíos gratis por mi cuenta</t>
  </si>
  <si>
    <t>Activa</t>
  </si>
  <si>
    <t>Soportes para vigas y tirantes</t>
  </si>
  <si>
    <t>No agregar cuotas</t>
  </si>
  <si>
    <t>6689720280874368</t>
  </si>
  <si>
    <t>MLA2022602680</t>
  </si>
  <si>
    <t>U3040510357</t>
  </si>
  <si>
    <t>Kit De Soportes De Acero Para Pergolas De 3 X3 Pulgadas !!!</t>
  </si>
  <si>
    <t>Negro</t>
  </si>
  <si>
    <t>ETIMADO CLIENTE RECUERDE QUE EL PEDIDO PUEDE TARDAR HASTA 7 DIAS EN LLEGAR DESDE YA MUCHAS GRACIAS HERRERIA VYV.
ATENCION EL KIT NO INCLUYE LAS MADERAS !!!!
EL ENVIO ES GRATIS LUEGO DE LA COMPRA DEBE ENVIARNOS UN MENSAJE Y LE PEDIREMOS LOS DATOS QUE NECESITAMOS PARA EL ENVIO !!!!
LAS VIGAS A COLOCAR DEBEN SER DE MADERA DURA CON UNA MEDIDA DE 76X76 MILIMETROS .
EL KIT CONTIENE 4 CODOS Y 4 BASES PARA TIRANTES DE 3 X 3.
Transforma tu espacio exterior con el Kit De Soportes De Acero Para Pérgolas de 3 x 3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</si>
  <si>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Pérgolas</t>
  </si>
  <si>
    <t>Cuotas con interés bajo en uno o ambos canales</t>
  </si>
  <si>
    <t>2099707870753058</t>
  </si>
  <si>
    <t>MLA2034865974</t>
  </si>
  <si>
    <t>U3078201123</t>
  </si>
  <si>
    <t>Codo Soporte Para Viga De Madera 4 X 4 Para Pergolas</t>
  </si>
  <si>
    <t>ETIMADO CLIENTE RECUERDE QUE EL PEDIDO PUEDE TARDAR HASTA 7 DIAS EN LLEGAR DESDE YA MUCHAS GRACIAS HERRERIA VYV.
El Codo Viga De Madera 4 X 4 Para Pergolas de la marca VyV es una pieza artesanal diseñada para brindar soporte y estabilidad a tus estructuras de madera. Fabricado en acero de alta calidad, este codo presenta un acabado en negro mate secado a horno, lo que no solo le otorga un aspecto elegante, sino que también asegura su durabilidad y resistencia a las inclemencias del tiempo.
Con unas dimensiones de 23 cm de altura y 40 cm de ancho, este soporte es ideal para vigas, proporcionando un ajuste perfecto y seguro. Su espesor de 1.6 mm garantiza una robustez que se traduce en confianza y seguridad en cada uso. 
Este modelo, conocido como Cd3x3, es perfecto para quienes buscan una solución estética y funcional para sus pérgolas y estructuras de madera. La combinación de su diseño artesanal y su material resistente lo convierte en una opción ideal para realzar la belleza de tus espacios exteriores. 
Transforma tu jardín o terraza con este codo viga, que no solo cumple una función estructural, sino que también añade un toque de sofisticación a tu entorno. Con el Codo Viga De Madera 3 X 3, cada proyecto se convierte en una obra maestra.</t>
  </si>
  <si>
    <t>3644863330598813</t>
  </si>
  <si>
    <t>MLA2092695374</t>
  </si>
  <si>
    <t>U3202318786</t>
  </si>
  <si>
    <t>Kit Para Armado De Pergola De 6x3 Viga De Madera De 4x4 !!</t>
  </si>
  <si>
    <t>ETIMADO CLIENTE RECUERDE QUE EL PEDIDO PUEDE TARDAR HASTA 7 DIAS EN LLEGAR DESDE YA MUCHAS GRACIAS HERRERIA VYV.
ATENCION EL KIT NO INCLUYE LAS MADERAS !!!!
EL ENVIO ES GRATIS LUEGO DE LA COMPRA DEBE ENVIARNOS UN MENSAJE Y LE PEDIREMOS LOS DATOS QUE NECESITAMOS PARA EL ENVIO !!!!
LAS VIGAS A COLOCAR DEBEN SER DE MADERA DURA CON UNA MEDIDA DE 96X96 MILIMETROS .
EL KIT CONTIENE 4 CODOS Y 6 BASES Y 2 ALARGUES EN T PARA TIRANTES DE 4X4
Transforma tu espacio exterior con el Kit De Soportes De Acero Para Pérgolas de 4X4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</si>
  <si>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Agregar cuotas</t>
  </si>
  <si>
    <t>4092894527379523</t>
  </si>
  <si>
    <t>MLA2034814292</t>
  </si>
  <si>
    <t>U3078218793</t>
  </si>
  <si>
    <t>Base Viga De Madera 4 X 4 Para Pergolas</t>
  </si>
  <si>
    <t>ETIMADO CLIENTE RECUERDE QUE EL PEDIDO PUEDE TARDAR HASTA 7 DIAS EN LLEGAR DESDE YA MUCHAS GRACIAS HERRERIA VYV.
La Base Viga De Madera 4 X 4 Para Pergolas de la marca VyV es una pieza artesanal diseñada para ofrecer un soporte robusto y estético a tus vigas. Con un acabado en negro mate, esta pieza no solo es funcional, sino que también aporta un toque moderno y elegante a cualquier estructura de pérgola.
Fabricada en acero de alta calidad, esta base tiene un espesor de 1.6 mm, lo que garantiza su durabilidad y resistencia. Sus dimensiones de 15 cm de largo y 8 cm de ancho la hacen ideal para adaptarse a diferentes configuraciones de vigas, asegurando una instalación segura y estable.
El diseño cuadrado de la base permite una fácil integración en diversos estilos arquitectónicos, desde los más clásicos hasta los contemporáneos. La pintura secadora al horno no solo proporciona un acabado atractivo, sino que también protege la pieza de las inclemencias del tiempo, asegurando su longevidad.
Optar por la Base Viga De Madera 3 X 3 Para Pergolas es elegir calidad y estilo para tus proyectos de construcción o renovación. Mejora la experiencia de tus espacios exteriores con un soporte que combina funcionalidad y diseño.</t>
  </si>
  <si>
    <t>7872444252359061</t>
  </si>
  <si>
    <t>MLA2034631624</t>
  </si>
  <si>
    <t>U3083524236</t>
  </si>
  <si>
    <t>Kit De Soportes De Acero Para Pergolas De 4 X 4 Pulgadas !!!</t>
  </si>
  <si>
    <t>ETIMADO CLIENTE RECUERDE QUE EL PEDIDO PUEDE TARDAR HASTA 7 DIAS EN LLEGAR DESDE YA MUCHAS GRACIAS HERRERIA VYV.
ATENCION EL KIT NO INCLUYE LAS MADERAS !!!!
EL ENVIO ES GRATIS LUEGO DE LA COMPRA DEBE ENVIARNOS UN MENSAJE Y LE PEDIREMOS LOS DATOS QUE NECESITAMOS PARA EL ENVIO !!!!
LAS VIGAS A COLOCAR DEBEN SER DE MADERA DURA CON UNA MEDIDA DE 96X96 MILIMETROS .
EL KIT CONTIENE 4 CODOS Y 4 BASES PARA TIRANTES DE 4 X 4.
Transforma tu espacio exterior con el Kit De Soportes De Acero Para Pérgolas de 4 x 4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</si>
  <si>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2306612210817780</t>
  </si>
  <si>
    <t>MLA2027710158</t>
  </si>
  <si>
    <t>U3061941470</t>
  </si>
  <si>
    <t>Bace Soporte Para Vigas De Madera ,pergolas De 3x3 !!</t>
  </si>
  <si>
    <t>ETIMADO CLIENTE RECUERDE QUE EL PEDIDO PUEDE TARDAR HASTA 7 DIAS EN LLEGAR DESDE YA MUCHAS GRACIAS HERRERIA VYV.
La Base Viga De Madera 3 X 3 Para Pergolas de la marca VyV es una pieza artesanal diseñada para ofrecer un soporte robusto y estético a tus vigas. Con un acabado en negro mate, esta pieza no solo es funcional, sino que también aporta un toque moderno y elegante a cualquier estructura de pérgola.
Fabricada en acero de alta calidad, esta base tiene un espesor de 1.6 mm, lo que garantiza su durabilidad y resistencia. Sus dimensiones de 15 cm de largo y 8 cm de ancho la hacen ideal para adaptarse a diferentes configuraciones de vigas, asegurando una instalación segura y estable.
El diseño cuadrado de la base permite una fácil integración en diversos estilos arquitectónicos, desde los más clásicos hasta los contemporáneos. La pintura secadora al horno no solo proporciona un acabado atractivo, sino que también protege la pieza de las inclemencias del tiempo, asegurando su longevidad.
Optar por la Base Viga De Madera 3 X 3 Para Pergolas es elegir calidad y estilo para tus proyectos de construcción o renovación. Mejora la experiencia de tus espacios exteriores con un soporte que combina funcionalidad y diseño.</t>
  </si>
  <si>
    <t>6470785795180451</t>
  </si>
  <si>
    <t>MLA1666938779</t>
  </si>
  <si>
    <t>U3774984120</t>
  </si>
  <si>
    <t>Codo De Metal Para Viga De Madera 3 X 3 Para Pergolas</t>
  </si>
  <si>
    <t>ESTIMADO CLIENTE EL ENVIO ES GRATIS POR CORREO ARGENTINO LUEGO DE LA COMPRA LE PEDIREMOS LOS DATOS PARA EL ENVIO DESDE YA MUCHAS GRACIAS .
ETIMADO CLIENTE RECUERDE QUE EL PEDIDO PUEDE TARDAR HASTA 7 DIAS EN LLEGAR DESDE YA MUCHAS GRACIAS HERRERIA VYV.
El Codo Viga De Madera 3 X 3 Para Pergolas de la marca VyV es una pieza artesanal diseñada para brindar soporte y estabilidad a tus estructuras de madera. Fabricado en acero de alta calidad, este codo presenta un acabado en negro mate secado a horno, lo que no solo le otorga un aspecto elegante, sino que también asegura su durabilidad y resistencia a las inclemencias del tiempo.
Con unas dimensiones de 23 cm de altura y 30 cm de ancho, este soporte es ideal para vigas, proporcionando un ajuste perfecto y seguro. Su espesor de 1.6 mm garantiza una robustez que se traduce en confianza y seguridad en cada uso. 
Este modelo, conocido como Cd3x3, es perfecto para quienes buscan una solución estética y funcional para sus pérgolas y estructuras de madera. La combinación de su diseño artesanal y su material resistente lo convierte en una opción ideal para realzar la belleza de tus espacios exteriores. 
Transforma tu jardín o terraza con este codo viga, que no solo cumple una función estructural, sino que también añade un toque de sofisticación a tu entorno. Con el Codo Viga De Madera 3 X 3, cada proyecto se convierte en una obra maestra.</t>
  </si>
  <si>
    <t>200411571597580</t>
  </si>
  <si>
    <t>MLA1500405941</t>
  </si>
  <si>
    <t>U3202277982</t>
  </si>
  <si>
    <t>Kit Para Armado De Pergola Viga De Madera De 3x3 Vyv.!!!!</t>
  </si>
  <si>
    <t>ETIMADO CLIENTE RECUERDE QUE EL PEDIDO PUEDE TARDAR HASTA 7 DIAS EN LLEGAR DESDE YA MUCHAS GRACIAS HERRERIA VYV.
¡¡¡ ATENCION EL KIT NO INCLUYE LAS MADERAS !!!!
EL ENVIO ES GRATIS LUEGO DE LA COMPRA DEBE ENVIARNOS UN MENSAJE Y LE PEDIREMOS LOS DATOS QUE NECESITAMOS PARA EL ENVIO !!!!
EL KIT CONTIENE 4 CODOS Y 4 BASES PARA TIRANTES DE 3 X 3. PULGADAS (76X76 CM)
Transforma tu espacio exterior con el Kit De Soportes De Acero Para Pérgolas de 3 x 3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</si>
  <si>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713036554430660</t>
  </si>
  <si>
    <t>MLA1995509092</t>
  </si>
  <si>
    <t>U2961503140</t>
  </si>
  <si>
    <t>Soporte T Para Alargue De Pergolas Vigas De 3x3</t>
  </si>
  <si>
    <t>ETIMADO CLIENTE RECUERDE QUE EL PEDIDO PUEDE TARDAR HASTA 7 DIAS EN LLEGAR DESDE YA MUCHAS GRACIAS HERRERIA VYV.
El Soporte T para Viga de Madera Alarga Pergolas de la marca VyV es una solución ideal para quienes buscan robustez y estilo en sus proyectos de construcción. Fabricado en acero de alta calidad, este soporte presenta un diseño en forma de T que proporciona una sujeción firme y segura para vigas, garantizando la estabilidad de estructuras como pérgolas y techados.
Con unas dimensiones de 23 cm de altura, 23 cm de largo y 38 cm de ancho, este soporte es perfecto para adaptarse a diferentes configuraciones de madera. Su espesor de 1.6 mm asegura una resistencia adecuada para soportar cargas significativas, lo que lo convierte en una opción confiable para proyectos tanto residenciales como comerciales.
El acabado en color negro no solo aporta un toque moderno, sino que también permite que el soporte se integre de manera armoniosa en diversos estilos arquitectónicos. Este producto artesanal destaca por su atención al detalle y su diseño funcional, convirtiéndolo en una elección preferida para quienes valoran la calidad y la estética en sus construcciones.
Ideal para arquitectos, contratistas y entusiastas del bricolaje, el Soporte T para Viga de Madera Alarga Pergolas es una inversión que asegura durabilidad y un acabado profesional en cada proyecto. Aporta la confianza necesaria para llevar a cabo construcciones que resalten por su solidez y elegancia.</t>
  </si>
  <si>
    <t>8620216779988018</t>
  </si>
  <si>
    <t>MLA2027671724</t>
  </si>
  <si>
    <t>U3062029548</t>
  </si>
  <si>
    <t>Kit De 4 Soportes Bases Para Pérgolas Viga De 3x3</t>
  </si>
  <si>
    <t>ETIMADO CLIENTE RECUERDE QUE EL PEDIDO PUEDE TARDAR HASTA 7 DIAS EN LLEGAR DESDE YA MUCHAS GRACIAS HERRERIA VYV.
ATENCION EL KIT NO INCLUYE LAS MADERAS !!!!
LAS VIGAS A COLOCAR DEBEN SER DE MADERA DURA CON UNA MEDIDA DE 76X76 MILIMETROS .
contiene 4 bases
La Base Viga De Madera 3 X 3 Para Pergolas de la marca VyV es una pieza artesanal diseñada para ofrecer un soporte robusto y estético a tus vigas. Con un acabado en negro mate, esta pieza no solo es funcional, sino que también aporta un toque moderno y elegante a cualquier estructura de pérgola.
Fabricada en acero de alta calidad, esta base tiene un espesor de 1.6 mm, lo que garantiza su durabilidad y resistencia. Sus dimensiones de 15 cm de largo y 8 cm de ancho la hacen ideal para adaptarse a diferentes configuraciones de vigas, asegurando una instalación segura y estable.
El diseño cuadrado de la base permite una fácil integración en diversos estilos arquitectónicos, desde los más clásicos hasta los contemporáneos. La pintura secadora al horno no solo proporciona un acabado atractivo, sino que también protege la pieza de las inclemencias del tiempo, asegurando su longevidad.
Optar por la Base Viga De Madera 3 X 3 Para Pergolas es elegir calidad y estilo para tus proyectos de construcción o renovación. Mejora la experiencia de tus espacios exteriores con un soporte que combina funcionalidad y diseño.</t>
  </si>
  <si>
    <t>6234285108656648</t>
  </si>
  <si>
    <t>MLA2081807932</t>
  </si>
  <si>
    <t>U3173224263</t>
  </si>
  <si>
    <t>Kit De Alargue Para Pérgola Viga 3x3 Madera</t>
  </si>
  <si>
    <t>ETIMADO CLIENTE RECUERDE QUE EL PEDIDO PUEDE TARDAR HASTA 7 DIAS EN LLEGAR DESDE YA MUCHAS GRACIAS HERRERIA VYV.
ATENCION EL KIT NO INCLUYE LAS MADERAS !!!!
LAS VIGAS A COLOCAR DEBEN SER DE MADERA DURA CON UNA MEDIDA DE 76X76 MILIMETROS .
EL KIT CONTIENE 2 T Y 2 BASES PARA VIGAS DE MADERA DE 3X3 PULGADAS FABRICADAS EN CAÑO ESTRUCTURAL DE 80X80 X1.6 Y CON UNA MEDIDA INTERIOR DE 7.6X7.6 CENTIMETROS RECOMEMDADO PARA EL ALARGUE DE PERGOLAS DE 3X3 A 6X3 METROS.
 SOMOS HERRERIA VYV Y ESTAMOS EN LA ZONA DE GENERAL RODRIGUEZ BUENOS AIRES.</t>
  </si>
  <si>
    <t>5880724266816180</t>
  </si>
  <si>
    <t>MLA2034709854</t>
  </si>
  <si>
    <t>U3083543040</t>
  </si>
  <si>
    <t>Soporte T Para Viga De Madera De 4x4 Alarga Pergolas</t>
  </si>
  <si>
    <t>El Soporte T para Viga de Madera de 4x4 Alarga Pergolas de la marca ETIMADO CLIENTE RECUERDE QUE EL PEDIDO PUEDE TARDAR HASTA 7 DIAS EN LLEGAR DESDE YA MUCHAS GRACIAS HERRERIA VYV.VyV es una solución ideal para quienes buscan robustez y estilo en sus proyectos de construcción. Fabricado en acero de alta calidad, este soporte presenta un diseño en forma de T que proporciona una sujeción firme y segura para vigas, garantizando la estabilidad de estructuras como pérgolas y techados.
Con unas dimensiones de 23 cm de altura, 23 cm de largo y 38 cm de ancho, este soporte es perfecto para adaptarse a diferentes configuraciones de madera. Su espesor de 1.6 mm asegura una resistencia adecuada para soportar cargas significativas, lo que lo convierte en una opción confiable para proyectos tanto residenciales como comerciales.
El acabado en color negro no solo aporta un toque moderno, sino que también permite que el soporte se integre de manera armoniosa en diversos estilos arquitectónicos. Este producto artesanal destaca por su atención al detalle y su diseño funcional, convirtiéndolo en una elección preferida para quienes valoran la calidad y la estética en sus construcciones.
Ideal para arquitectos, contratistas y entusiastas del bricolaje, el Soporte T para Viga de Madera Alarga Pergolas es una inversión que asegura durabilidad y un acabado profesional en cada proyecto. Aporta la confianza necesaria para llevar a cabo construcciones que resalten por su solidez y elegancia.</t>
  </si>
  <si>
    <t>8951390336460867</t>
  </si>
  <si>
    <t>MLA2027788458</t>
  </si>
  <si>
    <t>U3056722633</t>
  </si>
  <si>
    <t>Kit De 2 Soportes Bases Para Pergolas Viga De 3x3</t>
  </si>
  <si>
    <t>ETIMADO CLIENTE RECUERDE QUE EL PEDIDO PUEDE TARDAR HASTA 7 DIAS EN LLEGAR DESDE YA MUCHAS GRACIAS HERRERIA VYV.
contiene 2 bases
La Base Viga De Madera 3 X 3 Para Pergolas de la marca VyV es una pieza artesanal diseñada para ofrecer un soporte robusto y estético a tus vigas. Con un acabado en negro mate, esta pieza no solo es funcional, sino que también aporta un toque moderno y elegante a cualquier estructura de pérgola.
Fabricada en acero de alta calidad, esta base tiene un espesor de 1.6 mm, lo que garantiza su durabilidad y resistencia. Sus dimensiones de 15 cm de largo y 8 cm de ancho la hacen ideal para adaptarse a diferentes configuraciones de vigas, asegurando una instalación segura y estable.
El diseño cuadrado de la base permite una fácil integración en diversos estilos arquitectónicos, desde los más clásicos hasta los contemporáneos. La pintura secadora al horno no solo proporciona un acabado atractivo, sino que también protege la pieza de las inclemencias del tiempo, asegurando su longevidad.
Optar por la Base Viga De Madera 3 X 3 Para Pergolas es elegir calidad y estilo para tus proyectos de construcción o renovación. Mejora la experiencia de tus espacios exteriores con un soporte que combina funcionalidad y diseño.</t>
  </si>
  <si>
    <t>4605429438963915</t>
  </si>
  <si>
    <t>MLA2034696860</t>
  </si>
  <si>
    <t>U3078194109</t>
  </si>
  <si>
    <t>Kit De Soportes Para Pergolas De 4 X 4 Pulgadas !!!</t>
  </si>
  <si>
    <t>ETIMADO CLIENTE RECUERDE QUE EL PEDIDO PUEDE TARDAR HASTA 7 DIAS EN LLEGAR DESDE YA MUCHAS GRACIAS HERRERIA VYV.
¡¡¡¡ ATENCION EL KIT NO INCLUYE LAS MADERAS !!!!!
EL ENVIO ES GRATIS LUEGO DE LA COMPRA DEBE ENVIARNOS UN MENSAJE Y LE PEDIREMOS LOS DATOS QUE NECESITAMOS PARA EL ENVIO !!!!
EL KIT CONTIENE 4 CODOS Y 4 BASES PARA TIRANTES DE 4 X 4.
Transforma tu espacio exterior con el Kit De Soportes De Acero Para Pérgolas de 4 x 4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</si>
  <si>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53798544939674</t>
  </si>
  <si>
    <t>MLA2483891370</t>
  </si>
  <si>
    <t>U3516860868</t>
  </si>
  <si>
    <t>Kit Herrajes Para Armado De Pergola Viga De 3x3 En Pared !!</t>
  </si>
  <si>
    <t>ETIMADO CLIENTE RECUERDE QUE EL PEDIDO PUEDE TARDAR HASTA 7 DIAS EN LLEGAR DESDE YA MUCHAS GRACIAS HERRERIA VYV.
ATENCION EL KIT NO INCLUYE LAS MADERAS !!!!
LAS VIGAS A COLOCAR DEBEN SER DE MADERA DURA CON UNA MEDIDA DE 76X76 MILIMETROS .
EL KIT INCLUYE 
6 BASES DE 80X80 MILIMETROS
2 CODOS DE 80X80 MILIMETROS
1 T DE ALARGUE DE 80X80 MILIMETROS
LAS BASES SIRVEN TANTO COMO PARA PARED COMO PARA PISO
SOMOS HERRERIA VYV Y ESTAMOS EN GENERAL RODRIGUEZ 
NO DUDE EN CONSULTAR !!!!!</t>
  </si>
  <si>
    <t>2478744433682029</t>
  </si>
  <si>
    <t>MLA1500418553</t>
  </si>
  <si>
    <t>U3196667603</t>
  </si>
  <si>
    <t>Kit Para Armado De Pergola Viga De Madera De 4x4 Vyv.!!!!</t>
  </si>
  <si>
    <t>ATENCION EL KIT NO INCLUYE LAS MADERAS !!!!
EL ENVIO ES GRATIS LUEGO DE LA COMPRA DEBE ENVIARNOS UN MENSAJE Y LE PEDIREMOS LOS DATOS QUE NECESITAMOS PARA EL ENVIO !!!!
LAS VIGAS A COLOCAR DEBEN SER DE MADERA DURA CON UNA MEDIDA DE 96X96 MILIMETROS .
EL KIT CONTIENE 4 CODOS Y 4 BASES PARA TIRANTES DE 4 X 4.
Transforma tu espacio exterior con el Kit De Soportes De Acero Para Pérgolas de 4 x 4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</si>
  <si>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8327835282741414</t>
  </si>
  <si>
    <t>MLA1500429687</t>
  </si>
  <si>
    <t>U3196682373</t>
  </si>
  <si>
    <t>Kit De Soportes Metalicos Para Armar Pergola Viga 3x3 !!!</t>
  </si>
  <si>
    <t>ETIMADO CLIENTE RECUERDE QUE EL PEDIDO PUEDE TARDAR HASTA 7 DIAS EN LLEGAR DESDE YA MUCHAS GRACIAS HERRERIA VYV.
ATENCION EL KIT NO INCLUYE LAS MADERAS !!!!
EL ENVIO ES GRATIS LUEGO DE LA COMPRA DEBE ENVIARNOS UN MENSAJE Y LE PEDIREMOS LOS DATOS QUE NECESITAMOS PARA EL ENVIO !!!!
LAS VIGAS A COLOCAR DEBEN SER DE MADERA DURA CON UNA MEDIDA DE 76X76 MILIMETROS .
EL KIT CONTIENE 4 CODOS Y 4 BASES PARA TIRANTES DE 3 X 3.
Transforma tu espacio exterior con el Kit De Soportes De Acero Para Pérgolas de 3 x 3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</si>
  <si>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3578498508468723</t>
  </si>
  <si>
    <t>MLA1566325685</t>
  </si>
  <si>
    <t>U3509778543</t>
  </si>
  <si>
    <t>Kit Para Pergola Viga De  3x3  Apoyo En Pared</t>
  </si>
  <si>
    <t>ETIMADO CLIENTE RECUERDE QUE EL PEDIDO PUEDE TARDAR HASTA 7 DIAS EN LLEGAR DESDE YA MUCHAS GRACIAS HERRERIA VYV.
ATENCION EL KIT NO INCLUYE LAS MADERAS !!!!
LAS VIGAS A COLOCAR DEBEN SER DE MADERA DURA CON UNA MEDIDA DE 76X76 MILIMETROS .
EL KIT INCLUYE 
4 BASES DE 80X80 MILIMETROS
2 CODOS DE 80X80 MIKIMETROS
LAS BASES SIRVEN TANTO COMO PARA PARED COMO PARA PISO
SOMOS HERRERIA VYV Y ESTAMOS EN GENERAL RODRIGUEZ 
NO DUDE EN CONSULTAR !!!!!</t>
  </si>
  <si>
    <t>6591121081619290</t>
  </si>
  <si>
    <t>MLA2092865104</t>
  </si>
  <si>
    <t>U3202303438</t>
  </si>
  <si>
    <t>Kit Para Armado De Pergola De 6x3 Viga De Madera De 3x3 !!</t>
  </si>
  <si>
    <t>ETIMADO CLIENTE RECUERDE QUE EL PEDIDO PUEDE TARDAR HASTA 7 DIAS EN LLEGAR DESDE YA MUCHAS GRACIAS HERRERIA VYV.
ATENCION EL KIT NO INCLUYE LAS MADERAS !!!!
EL ENVIO ES GRATIS LUEGO DE LA COMPRA DEBE ENVIARNOS UN MENSAJE Y LE PEDIREMOS LOS DATOS QUE NECESITAMOS PARA EL ENVIO !!!!
LAS VIGAS A COLOCAR DEBEN SER DE MADERA DURA CON UNA MEDIDA DE 76X76 MILIMETROS .
EL KIT CONTIENE 4 CODOS Y 6 BASES Y 2 ALARGUES EN T PARA TIRANTES DE 3 X 3.
Transforma tu espacio exterior con el Kit De Soportes De Acero Para Pérgolas de 3 x 3 pulgadas de la marca VYV. Diseñado específicamente para adaptarse a pérgolas a medida, este producto combina funcionalidad y estética, permitiendo que tu área al aire libre se convierta en un lugar acogedor y elegante. Fabricado en metal de alta calidad, garantiza durabilidad y resistencia ante las inclemencias del tiempo.
La forma cuadrada de estos soportes se integra perfectamente en cualquier diseño exterior, brindando un soporte robusto y seguro para tu pérgola. Con un diseño pensado para facilitar su uso, este kit es ideal para quienes buscan una solución práctica y efectiva para embellecer su jardín, terraza o patio. 
La Herrería VYV se destaca por su compromiso con la calidad y la innovación, ofreciendo productos que cumplen con los más altos estándares. Al elegir este kit, no solo estás invirtiendo en un producto, sino también en la mejora de tu experiencia al aire libre, creando un ambiente perfecto para disfrutar con familia y amigos.</t>
  </si>
  <si>
    <t>8031156742299991</t>
  </si>
  <si>
    <t>MLA2082712974</t>
  </si>
  <si>
    <t>U3174820837</t>
  </si>
  <si>
    <t>Kit De Alargue Para Pérgola Viga 4x4 Madera</t>
  </si>
  <si>
    <t>ETIMADO CLIENTE RECUERDE QUE EL PEDIDO PUEDE TARDAR HASTA 7 DIAS EN LLEGAR DESDE YA MUCHAS GRACIAS HERRERIA VYV.
EL KIT CONTIENE 2 T Y 2 BASES PARA VIGAS DE MADERA DE 4X4 PULGADAS FABRICADAS EN CAÑO ESTRUCTURAL DE 100X100 X1.6 Y CON UNA MEDIDA INTERIOR DE 9.6X9.6 CENTIMETROS RECOMEMDADO PARA EL ALARGUE DE PERGOLAS DE 3X3 A 6X3 METROS.
 SOMOS HERRERIA VYV Y ESTAMOS EN LA ZONA DE GENERAL RODRIGUEZ BUENOS AIRES.</t>
  </si>
  <si>
    <t>864288572545707</t>
  </si>
  <si>
    <t>MLA2022512402</t>
  </si>
  <si>
    <t>U3040589277</t>
  </si>
  <si>
    <t>Kit Para Armado De  Pergolas De 3 X3 Pulgadas !!!</t>
  </si>
  <si>
    <t>ETIMADO CLIENTE RECUERDE QUE EL PEDIDO PUEDE TARDAR HASTA 7 DIAS EN LLEGAR DESDE YA MUCHAS GRACIAS HERRERIA VYV.
ATENCION EL KIT NO INCLUYE LAS MADERAS !!!!
EL ENVIO ES GRATIS LUEGO DE LA COMPRA DEBE ENVIARNOS UN MENSAJE Y LE PEDIREMOS LOS DATOS QUE NECESITAMOS PARA EL ENVIO !!!!
LAS VIGAS A COLOCAR DEBEN SER DE MADERA DURA CON UNA MEDIDA DE 76X76 MILIMETROS .
EL KIT CONTIENE 4 CODOS Y 4 BASES PARATIRANTES DE 3 X 3
Transforma tu espacio exterior con la pérgola de 3 x 3 pulgadas de VYV, diseñada para ofrecer un refugio elegante y funcional. Fabricada por Herrería VYV, este producto destaca por su robustez y durabilidad, gracias a su construcción en metal de alta calidad. Su diseño cuadrado se adapta perfectamente a cualquier ambiente, brindando sombra y estilo a tu jardín, terraza o patio.
Este modelo a medida permite personalizar tu espacio, creando un área ideal para disfrutar de momentos al aire libre. La versatilidad de la pérgola la convierte en una opción perfecta para reuniones familiares, cenas al aire libre o simplemente para relajarte en un entorno natural. Su estructura resistente asegura que puedas disfrutar de tu pérgola durante todo el año, sin preocuparte por las inclemencias del tiempo.
La instalación es sencilla, lo que te permitirá disfrutar de tu nuevo espacio en poco tiempo. Con un diseño exterior que complementa cualquier estilo arquitectónico, esta pérgola no solo es funcional, sino que también añade un toque estético a tu hogar. Dale a tu jardín el upgrade que merece y crea un ambiente acogedor y atractivo para ti y tus seres queridos.</t>
  </si>
  <si>
    <t>424763373394</t>
  </si>
  <si>
    <t>MLA2483839404</t>
  </si>
  <si>
    <t>U3509753235</t>
  </si>
  <si>
    <t>Kit De Herrajes Para Pergola Viga 4x4  Apoyo En Pared</t>
  </si>
  <si>
    <t>ATENCION EL KIT NO INCLUYE LAS MADERAS !!!!
LAS VIGAS A COLOCAR DEBEN SER DE MADERA DURA CON UNA MEDIDA DE 96X96 MILIMETROS .
EL KIT INCLUYE 
6 BASES DE 100X100 MILIMETROS
2 CODOS DE 100X100 MIKIMETROS
1 T DE ALARGUE DE 100X100 MILIMETROS
LAS BASES SIRVEN TANTO COMO PARA PARED COMO PARA PISO
SOMOS HERRERIA VYV Y ESTAMOS EN GENERAL RODRIGUEZ 
NO DUDE EN CONSULTAR !!!!!</t>
  </si>
  <si>
    <t>1413500990449135</t>
  </si>
  <si>
    <t>MLA1566299915</t>
  </si>
  <si>
    <t>U3509781599</t>
  </si>
  <si>
    <t>Kit Para Pergola Viga De 4x4  Apoyo En Pared</t>
  </si>
  <si>
    <t>ETIMADO CLIENTE RECUERDE QUE EL PEDIDO PUEDE TARDAR HASTA 7 DIAS EN LLEGAR DESDE YA MUCHAS GRACIAS HERRERIA VYV.
ATENCION EL KIT NO INCLUYE LAS MADERAS !!!!
LAS VIGAS A COLOCAR DEBEN SER DE MADERA DURA CON UNA MEDIDA DE 96X96 MILIMETROS .
EL KIT INCLUYE 
4 BASES DE 100X100 MILIMETROS
2 CODOS DE 100X100 MIKIMETROS
LAS BASES SIRVEN TANTO COMO PARA PARED COMO PARA PISO
SOMOS HERRERIA VYV Y ESTAMOS EN GENERAL RODRIGUEZ 
NO DUDE EN CONSULTAR !!!!!</t>
  </si>
</sst>
</file>

<file path=xl/styles.xml><?xml version="1.0" encoding="utf-8"?>
<styleSheet xmlns="http://schemas.openxmlformats.org/spreadsheetml/2006/main" xmlns:x14ac="http://schemas.microsoft.com/office/spreadsheetml/2009/9/ac" xmlns:mc="http://schemas.openxmlformats.org/markup-compatibility/2006">
  <numFmts count="0"/>
  <fonts count="38">
    <font>
      <sz val="10.0"/>
      <color rgb="FF000000"/>
      <name val="Arial"/>
      <scheme val="minor"/>
    </font>
    <font>
      <sz val="14.0"/>
      <color rgb="FF666666"/>
      <name val="Arial"/>
    </font>
    <font>
      <sz val="21.0"/>
      <color rgb="FF333333"/>
      <name val="Arial"/>
    </font>
    <font/>
    <font>
      <sz val="12.0"/>
      <color rgb="FF434343"/>
      <name val="Arial"/>
    </font>
    <font>
      <color theme="1"/>
      <name val="Arial"/>
    </font>
    <font>
      <sz val="14.0"/>
      <color rgb="FF333333"/>
      <name val="Arial"/>
    </font>
    <font>
      <b/>
      <sz val="14.0"/>
      <color rgb="FF333333"/>
      <name val="Arial"/>
    </font>
    <font>
      <color rgb="FF666666"/>
      <name val="Arial"/>
    </font>
    <font>
      <b/>
      <u/>
      <color rgb="FF1155CC"/>
      <name val="Arial"/>
    </font>
    <font>
      <sz val="14.0"/>
      <color rgb="FF434343"/>
      <name val="Arial"/>
    </font>
    <font>
      <sz val="10.0"/>
      <color rgb="FF999999"/>
      <name val="Arial"/>
    </font>
    <font>
      <sz val="12.0"/>
      <color theme="1"/>
      <name val="Arial"/>
    </font>
    <font>
      <sz val="9.0"/>
      <color rgb="FF434343"/>
      <name val="Arial"/>
    </font>
    <font>
      <name val="Arial"/>
      <sz val="10.0"/>
      <u val="single"/>
      <color rgb="FF1155CC"/>
    </font>
    <font>
      <name val="Arial"/>
      <sz val="10.0"/>
      <u val="none"/>
      <color rgb="FF000000"/>
    </font>
    <font>
      <name val="Arial"/>
      <sz val="14.0"/>
      <b val="true"/>
      <u val="none"/>
      <color rgb="FF000000"/>
    </font>
    <font>
      <name val="Arial"/>
      <sz val="10.0"/>
      <u val="none"/>
      <color rgb="FF000000"/>
    </font>
    <font>
      <name val="Arial"/>
      <sz val="10.0"/>
      <u val="none"/>
      <color rgb="FF999999"/>
    </font>
    <font>
      <name val="Arial"/>
      <sz val="10.0"/>
      <u val="none"/>
    </font>
    <font>
      <name val="Arial"/>
      <sz val="10.0"/>
      <i val="true"/>
      <b val="true"/>
      <u val="none"/>
      <color rgb="FF781A13"/>
    </font>
    <font>
      <name val="Arial"/>
      <sz val="10.0"/>
      <b val="true"/>
      <u val="none"/>
    </font>
    <font>
      <name val="Arial"/>
      <sz val="13.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10.0"/>
      <b val="true"/>
      <u val="none"/>
    </font>
    <font>
      <name val="Arial"/>
      <sz val="8.0"/>
      <b val="true"/>
      <u val="none"/>
    </font>
    <font>
      <name val="Arial"/>
      <sz val="10.0"/>
      <b val="true"/>
      <u val="none"/>
    </font>
    <font>
      <name val="Proxima Nova"/>
      <sz val="9.0"/>
      <u val="none"/>
      <color rgb="FF000000"/>
    </font>
    <font>
      <name val="Proxima Nova"/>
      <sz val="10.0"/>
      <b val="true"/>
      <u val="single"/>
      <color rgb="FF0E3D85"/>
    </font>
    <font>
      <name val="Arial"/>
      <sz val="10.0"/>
      <u val="none"/>
      <color rgb="FF999999"/>
    </font>
    <font>
      <name val="Arial"/>
      <sz val="10.0"/>
      <u val="none"/>
    </font>
    <font>
      <name val="Arial"/>
      <sz val="10.0"/>
      <u val="none"/>
    </font>
    <font>
      <name val="Arial"/>
      <sz val="10.0"/>
      <u val="none"/>
    </font>
  </fonts>
  <fills count="35">
    <fill>
      <patternFill patternType="none"/>
    </fill>
    <fill>
      <patternFill patternType="lightGray"/>
    </fill>
    <fill>
      <patternFill patternType="solid">
        <fgColor rgb="FFFFF158"/>
        <bgColor rgb="FFFFF158"/>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8F8F8"/>
        <bgColor rgb="FFF8F8F8"/>
      </patternFill>
    </fill>
    <fill>
      <patternFill patternType="solid">
        <fgColor rgb="FFFFFFFF"/>
        <bgColor rgb="FFFFFFFF"/>
      </patternFill>
    </fill>
    <fill>
      <patternFill patternType="solid">
        <fgColor rgb="FFEEEEEE"/>
        <bgColor rgb="FFEEEEEE"/>
      </patternFill>
    </fill>
    <fill>
      <patternFill patternType="none">
        <fgColor rgb="FFF9F9F9"/>
      </patternFill>
    </fill>
    <fill>
      <patternFill patternType="solid">
        <fgColor rgb="FFF9F9F9"/>
      </patternFill>
    </fill>
    <fill>
      <patternFill patternType="none">
        <fgColor rgb="FFEAEAEA"/>
      </patternFill>
    </fill>
    <fill>
      <patternFill patternType="solid">
        <fgColor rgb="FFEAEAEA"/>
      </patternFill>
    </fill>
    <fill>
      <patternFill patternType="none">
        <fgColor rgb="FFF3F3F3"/>
      </patternFill>
    </fill>
    <fill>
      <patternFill patternType="solid">
        <fgColor rgb="FFF3F3F3"/>
      </patternFill>
    </fill>
    <fill>
      <patternFill patternType="none">
        <fgColor rgb="FFFFF158"/>
      </patternFill>
    </fill>
    <fill>
      <patternFill patternType="solid">
        <fgColor rgb="FFFFF158"/>
      </patternFill>
    </fill>
    <fill>
      <patternFill patternType="none">
        <fgColor rgb="FFFFFFFF"/>
      </patternFill>
    </fill>
    <fill>
      <patternFill patternType="solid">
        <fgColor rgb="FFFFFFFF"/>
      </patternFill>
    </fill>
    <fill>
      <patternFill patternType="none">
        <fgColor rgb="FFF5D29F"/>
      </patternFill>
    </fill>
    <fill>
      <patternFill patternType="solid">
        <fgColor rgb="FFF5D29F"/>
      </patternFill>
    </fill>
    <fill>
      <patternFill patternType="none">
        <fgColor rgb="FFF6B26B"/>
      </patternFill>
    </fill>
    <fill>
      <patternFill patternType="solid">
        <fgColor rgb="FFF6B26B"/>
      </patternFill>
    </fill>
    <fill>
      <patternFill patternType="none">
        <fgColor rgb="FFF8CCA4"/>
      </patternFill>
    </fill>
    <fill>
      <patternFill patternType="solid">
        <fgColor rgb="FFF8CCA4"/>
      </patternFill>
    </fill>
    <fill>
      <patternFill patternType="none">
        <fgColor rgb="FFFCE5CD"/>
      </patternFill>
    </fill>
    <fill>
      <patternFill patternType="solid">
        <fgColor rgb="FFFCE5CD"/>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93C47D"/>
      </patternFill>
    </fill>
    <fill>
      <patternFill patternType="solid">
        <fgColor rgb="FF93C47D"/>
      </patternFill>
    </fill>
    <fill>
      <patternFill patternType="none">
        <fgColor rgb="FFD9EAD3"/>
      </patternFill>
    </fill>
    <fill>
      <patternFill patternType="solid">
        <fgColor rgb="FFD9EAD3"/>
      </patternFill>
    </fill>
  </fills>
  <borders count="85">
    <border/>
    <border>
      <left style="medium">
        <color rgb="FFFFF158"/>
      </left>
      <right style="medium">
        <color rgb="FFFFF158"/>
      </right>
      <top style="medium">
        <color rgb="FFFFF158"/>
      </top>
      <bottom style="medium">
        <color rgb="FFFFF158"/>
      </bottom>
    </border>
    <border>
      <left style="medium">
        <color rgb="FFFFF158"/>
      </left>
      <top style="medium">
        <color rgb="FFFFF158"/>
      </top>
      <bottom style="medium">
        <color rgb="FFFFF158"/>
      </bottom>
    </border>
    <border>
      <top style="medium">
        <color rgb="FFFFF158"/>
      </top>
      <bottom style="medium">
        <color rgb="FFFFF158"/>
      </bottom>
    </border>
    <border>
      <right style="medium">
        <color rgb="FFFFF158"/>
      </right>
      <top style="medium">
        <color rgb="FFFFF158"/>
      </top>
      <bottom style="medium">
        <color rgb="FFFFF158"/>
      </bottom>
    </border>
    <border>
      <left style="medium">
        <color rgb="FFFFF158"/>
      </left>
      <top style="medium">
        <color rgb="FFFFF158"/>
      </top>
    </border>
    <border>
      <top style="medium">
        <color rgb="FFFFF158"/>
      </top>
    </border>
    <border>
      <right style="medium">
        <color rgb="FFFFF158"/>
      </right>
      <top style="medium">
        <color rgb="FFFFF158"/>
      </top>
    </border>
    <border>
      <left style="thin">
        <color rgb="FFD9D9D9"/>
      </left>
      <top style="thin">
        <color rgb="FFD9D9D9"/>
      </top>
    </border>
    <border>
      <top style="thin">
        <color rgb="FFD9D9D9"/>
      </top>
    </border>
    <border>
      <right style="thin">
        <color rgb="FFD9D9D9"/>
      </right>
      <top style="thin">
        <color rgb="FFD9D9D9"/>
      </top>
    </border>
    <border>
      <left style="thin">
        <color rgb="FFF5F5F5"/>
      </left>
      <right style="thin">
        <color rgb="FFF5F5F5"/>
      </right>
      <top style="thin">
        <color rgb="FFF5F5F5"/>
      </top>
      <bottom style="thin">
        <color rgb="FFF5F5F5"/>
      </bottom>
    </border>
    <border>
      <right style="thin">
        <color rgb="FFD9D9D9"/>
      </right>
      <top style="thin">
        <color rgb="FFF5F5F5"/>
      </top>
    </border>
    <border>
      <right style="medium">
        <color rgb="FFF9F9F9"/>
      </right>
      <top style="thin">
        <color rgb="FFF9F9F9"/>
      </top>
    </border>
    <border>
      <top style="thin">
        <color rgb="FFF9F9F9"/>
      </top>
      <bottom style="medium">
        <color rgb="FFF9F9F9"/>
      </bottom>
    </border>
    <border>
      <right style="medium">
        <color rgb="FFF9F9F9"/>
      </right>
      <top style="thin">
        <color rgb="FFF9F9F9"/>
      </top>
      <bottom style="medium">
        <color rgb="FFF9F9F9"/>
      </bottom>
    </border>
    <border>
      <left style="medium">
        <color rgb="FFF5F5F5"/>
      </left>
      <right style="medium">
        <color rgb="FFF5F5F5"/>
      </right>
      <bottom style="medium">
        <color rgb="FFF5F5F5"/>
      </bottom>
    </border>
    <border>
      <right style="thin">
        <color rgb="FFD9D9D9"/>
      </right>
    </border>
    <border>
      <right style="medium">
        <color rgb="FFF9F9F9"/>
      </right>
    </border>
    <border>
      <left style="medium">
        <color rgb="FFF9F9F9"/>
      </left>
      <right/>
      <top style="medium">
        <color rgb="FFF9F9F9"/>
      </top>
      <bottom style="medium">
        <color rgb="FFF9F9F9"/>
      </bottom>
    </border>
    <border>
      <right/>
      <top style="medium">
        <color rgb="FFF9F9F9"/>
      </top>
      <bottom style="thin">
        <color rgb="FFF9F9F9"/>
      </bottom>
    </border>
    <border>
      <right style="medium">
        <color rgb="FFF9F9F9"/>
      </right>
      <top style="medium">
        <color rgb="FFF9F9F9"/>
      </top>
      <bottom style="thin">
        <color rgb="FFF9F9F9"/>
      </bottom>
    </border>
    <border>
      <left style="medium">
        <color rgb="FFF9F9F9"/>
      </left>
      <right style="medium">
        <color rgb="FFF9F9F9"/>
      </right>
      <top style="medium">
        <color rgb="FFF9F9F9"/>
      </top>
      <bottom style="medium">
        <color rgb="FFF9F9F9"/>
      </bottom>
    </border>
    <border>
      <left style="medium">
        <color rgb="FFF5F5F5"/>
      </left>
      <right style="medium">
        <color rgb="FFF5F5F5"/>
      </right>
      <top style="medium">
        <color rgb="FFF5F5F5"/>
      </top>
      <bottom style="medium">
        <color rgb="FFF5F5F5"/>
      </bottom>
    </border>
    <border>
      <left style="medium">
        <color rgb="FFF9F9F9"/>
      </left>
      <right style="thin">
        <color rgb="FFF9F9F9"/>
      </right>
      <bottom style="thin">
        <color rgb="FFF9F9F9"/>
      </bottom>
    </border>
    <border>
      <right style="thin">
        <color rgb="FFF9F9F9"/>
      </right>
      <bottom style="thin">
        <color rgb="FFF9F9F9"/>
      </bottom>
    </border>
    <border>
      <right style="thin">
        <color rgb="FFF9F9F9"/>
      </right>
      <bottom style="medium">
        <color rgb="FFF9F9F9"/>
      </bottom>
    </border>
    <border>
      <left style="medium">
        <color rgb="FFF9F9F9"/>
      </left>
      <right style="medium">
        <color rgb="FFF9F9F9"/>
      </right>
      <top style="medium">
        <color rgb="FFF9F9F9"/>
      </top>
    </border>
    <border>
      <right style="medium">
        <color rgb="FFF9F9F9"/>
      </right>
      <bottom style="thin">
        <color rgb="FFF9F9F9"/>
      </bottom>
    </border>
    <border>
      <bottom style="thin">
        <color rgb="FFF9F9F9"/>
      </bottom>
    </border>
    <border>
      <left style="medium">
        <color rgb="FFF8F8F8"/>
      </left>
      <right style="medium">
        <color rgb="FFF8F8F8"/>
      </right>
      <top style="medium">
        <color rgb="FFF8F8F8"/>
      </top>
      <bottom style="medium">
        <color rgb="FFF8F8F8"/>
      </bottom>
    </border>
    <border>
      <bottom style="medium">
        <color rgb="FFF9F9F9"/>
      </bottom>
    </border>
    <border>
      <right style="medium">
        <color rgb="FFF9F9F9"/>
      </right>
      <top style="medium">
        <color rgb="FFF9F9F9"/>
      </top>
      <bottom style="medium">
        <color rgb="FFF9F9F9"/>
      </bottom>
    </border>
    <border>
      <left style="medium">
        <color rgb="FFF9F9F9"/>
      </left>
    </border>
    <border>
      <right style="thin">
        <color rgb="FFF9F9F9"/>
      </right>
    </border>
    <border>
      <left style="thin">
        <color rgb="FFF9F9F9"/>
      </left>
      <right style="thin">
        <color rgb="FFF9F9F9"/>
      </right>
      <top style="thin">
        <color rgb="FFF9F9F9"/>
      </top>
      <bottom style="thin">
        <color rgb="FFF9F9F9"/>
      </bottom>
    </border>
    <border>
      <right style="thin">
        <color rgb="FFF9F9F9"/>
      </right>
      <top style="thin">
        <color rgb="FFF9F9F9"/>
      </top>
      <bottom style="thin">
        <color rgb="FFF9F9F9"/>
      </bottom>
    </border>
    <border>
      <right style="medium">
        <color rgb="FFF9F9F9"/>
      </right>
      <bottom style="medium">
        <color rgb="FFF9F9F9"/>
      </bottom>
    </border>
    <border>
      <left style="medium">
        <color rgb="FFF9F9F9"/>
      </left>
      <bottom style="medium">
        <color rgb="FFF9F9F9"/>
      </bottom>
    </border>
    <border>
      <right style="medium">
        <color rgb="FFF8F8F8"/>
      </right>
    </border>
    <border>
      <left style="medium">
        <color rgb="FFF9F9F9"/>
      </left>
      <top style="medium">
        <color rgb="FFF9F9F9"/>
      </top>
      <bottom style="medium">
        <color rgb="FFF9F9F9"/>
      </bottom>
    </border>
    <border>
      <bottom style="medium">
        <color rgb="FFF8F8F8"/>
      </bottom>
    </border>
    <border>
      <right style="medium">
        <color rgb="FFF8F8F8"/>
      </right>
      <bottom style="medium">
        <color rgb="FFF8F8F8"/>
      </bottom>
    </border>
    <border>
      <right style="medium">
        <color rgb="FFF9F9F9"/>
      </right>
      <top style="medium">
        <color rgb="FFF9F9F9"/>
      </top>
    </border>
    <border>
      <left style="medium">
        <color rgb="FFF9F9F9"/>
      </left>
      <top style="medium">
        <color rgb="FFF9F9F9"/>
      </top>
    </border>
    <border>
      <left style="medium">
        <color rgb="FFF9F9F9"/>
      </left>
      <right style="medium">
        <color rgb="FFF9F9F9"/>
      </right>
    </border>
    <border>
      <left style="thin">
        <color rgb="FFF9F9F9"/>
      </left>
      <top style="thin">
        <color rgb="FFF9F9F9"/>
      </top>
    </border>
    <border>
      <top style="thin">
        <color rgb="FFF9F9F9"/>
      </top>
    </border>
    <border>
      <right style="thin">
        <color rgb="FFF9F9F9"/>
      </right>
      <top style="thin">
        <color rgb="FFF9F9F9"/>
      </top>
    </border>
    <border>
      <left style="thin">
        <color rgb="FFF9F9F9"/>
      </left>
      <bottom style="thin">
        <color rgb="FFF9F9F9"/>
      </bottom>
    </border>
    <border>
      <left style="medium">
        <color rgb="FFF9F9F9"/>
      </left>
      <top style="medium">
        <color rgb="FFF9F9F9"/>
      </top>
      <bottom style="thin">
        <color rgb="FFF9F9F9"/>
      </bottom>
    </border>
    <border>
      <left style="medium">
        <color rgb="FFF9F9F9"/>
      </left>
      <right style="medium">
        <color rgb="FFF9F9F9"/>
      </right>
      <bottom style="medium">
        <color rgb="FFF9F9F9"/>
      </bottom>
    </border>
    <border>
      <left style="medium">
        <color rgb="FFF9F9F9"/>
      </left>
      <top style="thin">
        <color rgb="FFD9D9D9"/>
      </top>
      <bottom style="medium">
        <color rgb="FFF9F9F9"/>
      </bottom>
    </border>
    <border>
      <top style="thin">
        <color rgb="FFD9D9D9"/>
      </top>
      <bottom style="medium">
        <color rgb="FFF9F9F9"/>
      </bottom>
    </border>
    <border>
      <right style="medium">
        <color rgb="FFF9F9F9"/>
      </right>
      <top style="thin">
        <color rgb="FFD9D9D9"/>
      </top>
      <bottom style="medium">
        <color rgb="FFF9F9F9"/>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F9F9F9"/>
      </left>
    </border>
    <border>
      <left style="hair">
        <color rgb="FFD6D6D6"/>
      </left>
      <top style="hair">
        <color rgb="FFD6D6D6"/>
      </top>
      <bottom style="hair">
        <color rgb="FFD6D6D6"/>
      </bottom>
    </border>
    <border>
      <top style="hair">
        <color rgb="FFD6D6D6"/>
      </top>
      <bottom style="hair">
        <color rgb="FFD6D6D6"/>
      </bottom>
    </border>
    <border>
      <right style="hair">
        <color rgb="FFD6D6D6"/>
      </right>
      <top style="hair">
        <color rgb="FFD6D6D6"/>
      </top>
      <bottom style="hair">
        <color rgb="FFD6D6D6"/>
      </bottom>
    </border>
    <border>
      <left style="thin">
        <color rgb="FFF9F9F9"/>
      </left>
      <right style="thin">
        <color rgb="FFF9F9F9"/>
      </right>
      <bottom style="thin">
        <color rgb="FFF9F9F9"/>
      </bottom>
    </border>
    <border>
      <top style="medium">
        <color rgb="FFF9F9F9"/>
      </top>
    </border>
    <border>
      <right style="thin">
        <color rgb="FFD9D9D9"/>
      </right>
      <bottom style="medium">
        <color rgb="FFF5F5F5"/>
      </bottom>
    </border>
    <border>
      <bottom style="dotted"/>
    </border>
    <border>
      <top style="dotted"/>
      <bottom style="dotted"/>
    </border>
    <border>
      <left style="dotted"/>
      <top style="dotted"/>
      <bottom style="dotted"/>
    </border>
    <border>
      <left style="dotted"/>
      <right style="dotted"/>
      <top style="dotted"/>
      <bottom style="dotted"/>
    </border>
    <border>
      <left style="dotted"/>
      <right style="dotted"/>
      <top style="dotted"/>
      <bottom style="dotted">
        <color rgb="FF999999"/>
      </bottom>
    </border>
    <border>
      <left style="dotted"/>
      <right style="dotted"/>
      <top style="dotted">
        <color rgb="FF999999"/>
      </top>
      <bottom style="dotted">
        <color rgb="FF999999"/>
      </bottom>
    </border>
    <border>
      <left style="dotted">
        <color rgb="FF999999"/>
      </left>
      <right style="dotted"/>
      <top style="dotted">
        <color rgb="FF999999"/>
      </top>
      <bottom style="dotted">
        <color rgb="FF999999"/>
      </bottom>
    </border>
    <border>
      <left style="dotted">
        <color rgb="FF999999"/>
      </left>
      <right style="dotted">
        <color rgb="FF999999"/>
      </right>
      <top style="dotted">
        <color rgb="FF999999"/>
      </top>
      <bottom style="dotted">
        <color rgb="FF999999"/>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999999"/>
      </bottom>
    </border>
    <border>
      <left style="thin"/>
      <right style="thin"/>
      <top style="thin">
        <color rgb="FF999999"/>
      </top>
      <bottom style="thin">
        <color rgb="FF999999"/>
      </bottom>
    </border>
    <border>
      <left style="thin">
        <color rgb="FF999999"/>
      </left>
      <right style="thin"/>
      <top style="thin">
        <color rgb="FF999999"/>
      </top>
      <bottom style="thin">
        <color rgb="FF999999"/>
      </bottom>
    </border>
    <border>
      <left style="thin">
        <color rgb="FF999999"/>
      </left>
      <right style="thin">
        <color rgb="FF999999"/>
      </right>
      <top style="thin">
        <color rgb="FF999999"/>
      </top>
      <bottom style="thin">
        <color rgb="FF999999"/>
      </bottom>
    </border>
    <border>
      <left style="thin"/>
      <right style="thin"/>
      <top style="thin"/>
      <bottom style="thin">
        <color rgb="FFB7B7B7"/>
      </bottom>
    </border>
    <border>
      <left style="thin"/>
      <right style="thin"/>
      <top style="thin">
        <color rgb="FFB7B7B7"/>
      </top>
      <bottom style="thin">
        <color rgb="FFB7B7B7"/>
      </bottom>
    </border>
    <border>
      <left style="thin">
        <color rgb="FFB7B7B7"/>
      </left>
      <right style="thin"/>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20">
    <xf borderId="0" fillId="0" fontId="0" numFmtId="49" xfId="0" applyAlignment="1" applyFont="1" applyNumberFormat="true">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ont="1">
      <alignment horizontal="left" vertical="center"/>
    </xf>
    <xf borderId="3" fillId="0" fontId="3" numFmtId="0" xfId="0" applyBorder="1" applyFont="1"/>
    <xf borderId="4" fillId="0" fontId="3" numFmtId="0" xfId="0" applyBorder="1" applyFont="1"/>
    <xf borderId="0" fillId="2" fontId="4" numFmtId="0" xfId="0" applyAlignment="1" applyFont="1">
      <alignment horizontal="left"/>
    </xf>
    <xf borderId="5" fillId="2" fontId="1" numFmtId="0" xfId="0" applyAlignment="1" applyBorder="1" applyFont="1">
      <alignment horizontal="center" vertical="center"/>
    </xf>
    <xf borderId="6" fillId="0" fontId="3" numFmtId="0" xfId="0" applyBorder="1" applyFont="1"/>
    <xf borderId="7" fillId="0" fontId="3" numFmtId="0" xfId="0" applyBorder="1" applyFont="1"/>
    <xf borderId="8" fillId="3" fontId="1" numFmtId="0" xfId="0" applyAlignment="1" applyBorder="1" applyFill="1" applyFont="1">
      <alignment horizontal="center" vertical="center"/>
    </xf>
    <xf borderId="9" fillId="0" fontId="3" numFmtId="0" xfId="0" applyBorder="1" applyFont="1"/>
    <xf borderId="10" fillId="0" fontId="3" numFmtId="0" xfId="0" applyBorder="1" applyFont="1"/>
    <xf borderId="11" fillId="4" fontId="5" numFmtId="0" xfId="0" applyBorder="1" applyFill="1" applyFont="1"/>
    <xf borderId="12" fillId="4" fontId="5" numFmtId="0" xfId="0" applyBorder="1" applyFont="1"/>
    <xf borderId="13" fillId="5" fontId="5" numFmtId="0" xfId="0" applyBorder="1" applyFill="1" applyFont="1"/>
    <xf borderId="14" fillId="5" fontId="5" numFmtId="0" xfId="0" applyBorder="1" applyFont="1"/>
    <xf borderId="14" fillId="0" fontId="3" numFmtId="0" xfId="0" applyBorder="1" applyFont="1"/>
    <xf borderId="15" fillId="0" fontId="3" numFmtId="0" xfId="0" applyBorder="1" applyFont="1"/>
    <xf borderId="16" fillId="4" fontId="5" numFmtId="0" xfId="0" applyBorder="1" applyFont="1"/>
    <xf borderId="16" fillId="4" fontId="6" numFmtId="0" xfId="0" applyBorder="1" applyFont="1"/>
    <xf borderId="17" fillId="0" fontId="3" numFmtId="0" xfId="0" applyBorder="1" applyFont="1"/>
    <xf borderId="18" fillId="0" fontId="3" numFmtId="0" xfId="0" applyBorder="1" applyFont="1"/>
    <xf borderId="19" fillId="5" fontId="7" numFmtId="0" xfId="0" applyAlignment="1" applyBorder="1" applyFont="1">
      <alignment shrinkToFit="0" vertical="bottom" wrapText="0"/>
    </xf>
    <xf borderId="20" fillId="5" fontId="5" numFmtId="0" xfId="0" applyAlignment="1" applyBorder="1" applyFont="1">
      <alignment vertical="bottom"/>
    </xf>
    <xf borderId="21" fillId="5" fontId="5" numFmtId="0" xfId="0" applyAlignment="1" applyBorder="1" applyFont="1">
      <alignment vertical="bottom"/>
    </xf>
    <xf borderId="22" fillId="5" fontId="5" numFmtId="0" xfId="0" applyBorder="1" applyFont="1"/>
    <xf borderId="23" fillId="4" fontId="5" numFmtId="0" xfId="0" applyBorder="1" applyFont="1"/>
    <xf borderId="23" fillId="4" fontId="5" numFmtId="49" xfId="0" applyAlignment="1" applyBorder="1" applyFont="1" applyNumberFormat="1">
      <alignment horizontal="right"/>
    </xf>
    <xf borderId="24" fillId="5" fontId="5" numFmtId="0" xfId="0" applyAlignment="1" applyBorder="1" applyFont="1">
      <alignment vertical="bottom"/>
    </xf>
    <xf borderId="25" fillId="5" fontId="5" numFmtId="0" xfId="0" applyAlignment="1" applyBorder="1" applyFont="1">
      <alignment vertical="bottom"/>
    </xf>
    <xf borderId="26" fillId="5" fontId="5" numFmtId="0" xfId="0" applyAlignment="1" applyBorder="1" applyFont="1">
      <alignment vertical="bottom"/>
    </xf>
    <xf borderId="27" fillId="5" fontId="5" numFmtId="0" xfId="0" applyBorder="1" applyFont="1"/>
    <xf borderId="23" fillId="4" fontId="8" numFmtId="49" xfId="0" applyAlignment="1" applyBorder="1" applyFont="1" applyNumberFormat="1">
      <alignment horizontal="right" vertical="center"/>
    </xf>
    <xf borderId="23" fillId="4" fontId="5" numFmtId="0" xfId="0" applyAlignment="1" applyBorder="1" applyFont="1">
      <alignment vertical="center"/>
    </xf>
    <xf borderId="28" fillId="5" fontId="5" numFmtId="0" xfId="0" applyAlignment="1" applyBorder="1" applyFont="1">
      <alignment vertical="bottom"/>
    </xf>
    <xf borderId="29" fillId="5" fontId="8" numFmtId="0" xfId="0" applyBorder="1" applyFont="1"/>
    <xf borderId="29" fillId="0" fontId="3" numFmtId="0" xfId="0" applyBorder="1" applyFont="1"/>
    <xf borderId="28" fillId="0" fontId="3" numFmtId="0" xfId="0" applyBorder="1" applyFont="1"/>
    <xf borderId="30" fillId="6" fontId="8" numFmtId="0" xfId="0" applyAlignment="1" applyBorder="1" applyFill="1" applyFont="1">
      <alignment shrinkToFit="0" vertical="center" wrapText="1"/>
    </xf>
    <xf borderId="25" fillId="5" fontId="5" numFmtId="0" xfId="0" applyAlignment="1" applyBorder="1" applyFont="1">
      <alignment vertical="top"/>
    </xf>
    <xf borderId="31" fillId="5" fontId="9" numFmtId="0" xfId="0" applyAlignment="1" applyBorder="1" applyFont="1">
      <alignment shrinkToFit="0" vertical="top" wrapText="1"/>
    </xf>
    <xf borderId="31" fillId="0" fontId="3" numFmtId="0" xfId="0" applyBorder="1" applyFont="1"/>
    <xf borderId="26" fillId="0" fontId="3" numFmtId="0" xfId="0" applyBorder="1" applyFont="1"/>
    <xf borderId="29" fillId="5" fontId="8" numFmtId="0" xfId="0" applyAlignment="1" applyBorder="1" applyFont="1">
      <alignment shrinkToFit="0" vertical="center" wrapText="1"/>
    </xf>
    <xf borderId="30" fillId="6" fontId="5" numFmtId="0" xfId="0" applyBorder="1" applyFont="1"/>
    <xf borderId="0" fillId="5" fontId="5" numFmtId="0" xfId="0" applyFont="1"/>
    <xf borderId="32" fillId="5" fontId="5" numFmtId="0" xfId="0" applyBorder="1" applyFont="1"/>
    <xf borderId="33" fillId="5" fontId="7" numFmtId="0" xfId="0" applyAlignment="1" applyBorder="1" applyFont="1">
      <alignment vertical="bottom"/>
    </xf>
    <xf borderId="34" fillId="0" fontId="3" numFmtId="0" xfId="0" applyBorder="1" applyFont="1"/>
    <xf borderId="23" fillId="4" fontId="5" numFmtId="49" xfId="0" applyAlignment="1" applyBorder="1" applyFont="1" applyNumberFormat="1">
      <alignment horizontal="right" vertical="center"/>
    </xf>
    <xf borderId="35" fillId="5" fontId="5" numFmtId="0" xfId="0" applyBorder="1" applyFont="1"/>
    <xf borderId="36" fillId="5" fontId="5" numFmtId="0" xfId="0" applyBorder="1" applyFont="1"/>
    <xf borderId="37" fillId="5" fontId="5" numFmtId="0" xfId="0" applyBorder="1" applyFont="1"/>
    <xf borderId="38" fillId="5" fontId="5" numFmtId="0" xfId="0" applyBorder="1" applyFont="1"/>
    <xf borderId="0" fillId="6" fontId="8" numFmtId="0" xfId="0" applyAlignment="1" applyFont="1">
      <alignment shrinkToFit="0" vertical="center" wrapText="1"/>
    </xf>
    <xf borderId="39" fillId="0" fontId="3" numFmtId="0" xfId="0" applyBorder="1" applyFont="1"/>
    <xf borderId="40" fillId="5" fontId="5" numFmtId="0" xfId="0" applyBorder="1" applyFont="1"/>
    <xf borderId="41" fillId="0" fontId="3" numFmtId="0" xfId="0" applyBorder="1" applyFont="1"/>
    <xf borderId="42" fillId="0" fontId="3" numFmtId="0" xfId="0" applyBorder="1" applyFont="1"/>
    <xf borderId="43" fillId="5" fontId="5" numFmtId="0" xfId="0" applyBorder="1" applyFont="1"/>
    <xf borderId="44" fillId="5" fontId="5" numFmtId="0" xfId="0" applyBorder="1" applyFont="1"/>
    <xf borderId="45" fillId="5" fontId="5" numFmtId="0" xfId="0" applyBorder="1" applyFont="1"/>
    <xf borderId="46" fillId="6" fontId="8" numFmtId="0" xfId="0" applyAlignment="1" applyBorder="1" applyFont="1">
      <alignment shrinkToFit="0" vertical="center" wrapText="1"/>
    </xf>
    <xf borderId="47" fillId="0" fontId="3" numFmtId="0" xfId="0" applyBorder="1" applyFont="1"/>
    <xf borderId="48" fillId="0" fontId="3" numFmtId="0" xfId="0" applyBorder="1" applyFont="1"/>
    <xf borderId="49" fillId="0" fontId="3" numFmtId="0" xfId="0" applyBorder="1" applyFont="1"/>
    <xf borderId="25" fillId="0" fontId="3" numFmtId="0" xfId="0" applyBorder="1" applyFont="1"/>
    <xf borderId="35" fillId="6" fontId="8" numFmtId="0" xfId="0" applyAlignment="1" applyBorder="1" applyFont="1">
      <alignment shrinkToFit="0" vertical="center" wrapText="1"/>
    </xf>
    <xf borderId="23" fillId="4" fontId="5" numFmtId="49" xfId="0" applyAlignment="1" applyBorder="1" applyFont="1" applyNumberFormat="1">
      <alignment vertical="center"/>
    </xf>
    <xf borderId="46" fillId="5" fontId="8" numFmtId="0" xfId="0" applyAlignment="1" applyBorder="1" applyFont="1">
      <alignment shrinkToFit="0" vertical="center" wrapText="1"/>
    </xf>
    <xf borderId="21" fillId="5" fontId="5" numFmtId="0" xfId="0" applyBorder="1" applyFont="1"/>
    <xf borderId="50" fillId="5" fontId="5" numFmtId="0" xfId="0" applyBorder="1" applyFont="1"/>
    <xf borderId="51" fillId="5" fontId="5" numFmtId="0" xfId="0" applyBorder="1" applyFont="1"/>
    <xf borderId="52" fillId="5" fontId="5" numFmtId="0" xfId="0" applyBorder="1" applyFont="1"/>
    <xf borderId="53" fillId="0" fontId="3" numFmtId="0" xfId="0" applyBorder="1" applyFont="1"/>
    <xf borderId="54" fillId="0" fontId="3" numFmtId="0" xfId="0" applyBorder="1" applyFont="1"/>
    <xf borderId="22" fillId="5" fontId="7" numFmtId="0" xfId="0" applyBorder="1" applyFont="1"/>
    <xf borderId="22" fillId="5" fontId="10" numFmtId="0" xfId="0" applyBorder="1" applyFont="1"/>
    <xf borderId="27" fillId="5" fontId="10" numFmtId="0" xfId="0" applyBorder="1" applyFont="1"/>
    <xf borderId="55" fillId="7" fontId="5" numFmtId="0" xfId="0" applyBorder="1" applyFill="1" applyFont="1"/>
    <xf borderId="56" fillId="0" fontId="3" numFmtId="0" xfId="0" applyBorder="1" applyFont="1"/>
    <xf borderId="57" fillId="0" fontId="3" numFmtId="0" xfId="0" applyBorder="1" applyFont="1"/>
    <xf borderId="22" fillId="5" fontId="8" numFmtId="0" xfId="0" applyAlignment="1" applyBorder="1" applyFont="1">
      <alignment vertical="center"/>
    </xf>
    <xf borderId="58" fillId="5" fontId="5" numFmtId="0" xfId="0" applyBorder="1" applyFont="1"/>
    <xf borderId="59" fillId="8" fontId="11" numFmtId="0" xfId="0" applyAlignment="1" applyBorder="1" applyFill="1" applyFont="1">
      <alignment horizontal="center" vertical="center"/>
    </xf>
    <xf borderId="60" fillId="0" fontId="3" numFmtId="0" xfId="0" applyBorder="1" applyFont="1"/>
    <xf borderId="61" fillId="0" fontId="3" numFmtId="0" xfId="0" applyBorder="1" applyFont="1"/>
    <xf borderId="27" fillId="5" fontId="8" numFmtId="0" xfId="0" applyAlignment="1" applyBorder="1" applyFont="1">
      <alignment vertical="center"/>
    </xf>
    <xf borderId="62" fillId="5" fontId="5" numFmtId="0" xfId="0" applyBorder="1" applyFont="1"/>
    <xf borderId="22" fillId="5" fontId="12" numFmtId="0" xfId="0" applyBorder="1" applyFont="1"/>
    <xf borderId="0" fillId="5" fontId="7" numFmtId="0" xfId="0" applyAlignment="1" applyFont="1">
      <alignment horizontal="left"/>
    </xf>
    <xf borderId="63" fillId="5" fontId="8" numFmtId="0" xfId="0" applyAlignment="1" applyBorder="1" applyFont="1">
      <alignment vertical="center"/>
    </xf>
    <xf borderId="63" fillId="0" fontId="3" numFmtId="0" xfId="0" applyBorder="1" applyFont="1"/>
    <xf borderId="43" fillId="0" fontId="3" numFmtId="0" xfId="0" applyBorder="1" applyFont="1"/>
    <xf borderId="0" fillId="5" fontId="13" numFmtId="0" xfId="0" applyAlignment="1" applyFont="1">
      <alignment shrinkToFit="0" vertical="top" wrapText="1"/>
    </xf>
    <xf borderId="37" fillId="0" fontId="3" numFmtId="0" xfId="0" applyBorder="1" applyFont="1"/>
    <xf borderId="64" fillId="0" fontId="3" numFmtId="0" xfId="0" applyBorder="1" applyFont="1"/>
    <xf numFmtId="0" fontId="14" fillId="10" borderId="0" xfId="0" applyFont="true" applyFill="true">
      <alignment wrapText="false"/>
      <protection locked="false"/>
    </xf>
    <xf numFmtId="0" fontId="15" fillId="10" borderId="0" xfId="0" applyFont="true" applyFill="true" applyAlignment="true">
      <alignment horizontal="left" vertical="center" wrapText="false"/>
      <protection locked="false"/>
    </xf>
    <xf numFmtId="0" fontId="16" fillId="10" borderId="0" xfId="0" applyFont="true" applyFill="true">
      <alignment wrapText="false"/>
      <protection locked="false"/>
    </xf>
    <xf numFmtId="0" fontId="17" fillId="10" borderId="0" xfId="0" applyFont="true" applyFill="true" applyAlignment="true">
      <alignment vertical="center" wrapText="true"/>
      <protection locked="false"/>
    </xf>
    <xf numFmtId="0" fontId="18" fillId="12" borderId="72" xfId="0" applyFont="true" applyFill="true" applyAlignment="true" applyBorder="true">
      <alignment horizontal="center" vertical="center" wrapText="false"/>
      <protection locked="true"/>
    </xf>
    <xf numFmtId="0" fontId="19" fillId="0" borderId="0" xfId="0" applyFont="true" applyBorder="true">
      <alignment wrapText="false"/>
      <protection locked="false"/>
    </xf>
    <xf numFmtId="0" fontId="20" fillId="14" borderId="80" xfId="0" applyFont="true" applyFill="true" applyAlignment="true" applyBorder="true">
      <alignment horizontal="center" vertical="center" wrapText="false"/>
      <protection locked="true"/>
    </xf>
    <xf numFmtId="0" fontId="21" fillId="16" borderId="0" xfId="0" applyFont="true" applyFill="true" applyAlignment="true">
      <alignment horizontal="center" vertical="center" wrapText="true"/>
      <protection locked="false"/>
    </xf>
    <xf numFmtId="0" fontId="22" fillId="18" borderId="0" xfId="0" applyFont="true" applyFill="true" applyAlignment="true">
      <alignment horizontal="center" vertical="center" wrapText="true"/>
      <protection locked="false"/>
    </xf>
    <xf numFmtId="0" fontId="23" fillId="20" borderId="0" xfId="0" applyFont="true" applyFill="true" applyAlignment="true">
      <alignment horizontal="center" vertical="center" wrapText="true"/>
      <protection locked="false"/>
    </xf>
    <xf numFmtId="0" fontId="24" fillId="22" borderId="0" xfId="0" applyFont="true" applyFill="true" applyAlignment="true">
      <alignment horizontal="center" vertical="center" wrapText="true"/>
      <protection locked="false"/>
    </xf>
    <xf numFmtId="0" fontId="25" fillId="24" borderId="0" xfId="0" applyFont="true" applyFill="true" applyAlignment="true">
      <alignment horizontal="center" vertical="center" wrapText="true"/>
      <protection locked="false"/>
    </xf>
    <xf numFmtId="0" fontId="26" fillId="26" borderId="0" xfId="0" applyFont="true" applyFill="true" applyAlignment="true">
      <alignment horizontal="center" vertical="center" wrapText="true"/>
      <protection locked="false"/>
    </xf>
    <xf numFmtId="0" fontId="27" fillId="28" borderId="0" xfId="0" applyFont="true" applyFill="true" applyAlignment="true">
      <alignment horizontal="center" vertical="center" wrapText="true"/>
      <protection locked="false"/>
    </xf>
    <xf numFmtId="0" fontId="28" fillId="30" borderId="0" xfId="0" applyFont="true" applyFill="true" applyAlignment="true">
      <alignment horizontal="center" vertical="center" wrapText="true"/>
      <protection locked="false"/>
    </xf>
    <xf numFmtId="0" fontId="29" fillId="32" borderId="0" xfId="0" applyFont="true" applyFill="true" applyAlignment="true">
      <alignment horizontal="center" vertical="center" wrapText="true"/>
      <protection locked="false"/>
    </xf>
    <xf numFmtId="0" fontId="30" fillId="32" borderId="0" xfId="0" applyFont="true" applyFill="true" applyAlignment="true">
      <alignment horizontal="center" vertical="center" wrapText="true"/>
      <protection locked="false"/>
    </xf>
    <xf numFmtId="0" fontId="31" fillId="34" borderId="0" xfId="0" applyFont="true" applyFill="true" applyAlignment="true">
      <alignment horizontal="center" vertical="center" wrapText="true"/>
      <protection locked="false"/>
    </xf>
    <xf numFmtId="0" fontId="32" fillId="14" borderId="84" xfId="0" applyFont="true" applyFill="true" applyAlignment="true" applyBorder="true">
      <alignment horizontal="center" vertical="center" wrapText="true"/>
      <protection locked="false"/>
    </xf>
    <xf numFmtId="0" fontId="34" fillId="12" borderId="80" xfId="0" applyFont="true" applyFill="true" applyAlignment="true" applyBorder="true">
      <alignment horizontal="center" vertical="center" wrapText="false"/>
      <protection locked="true"/>
    </xf>
    <xf numFmtId="0" fontId="35" fillId="0" borderId="80" xfId="0" applyFont="true" applyAlignment="true" applyBorder="true">
      <alignment horizontal="left" vertical="center" wrapText="false"/>
      <protection locked="false"/>
    </xf>
    <xf numFmtId="0" fontId="36" fillId="0" borderId="80" xfId="0" applyFont="true" applyAlignment="true" applyBorder="true">
      <alignment horizontal="center" vertical="center" wrapText="false"/>
      <protection locked="false"/>
    </xf>
    <xf numFmtId="0" fontId="37" fillId="0" borderId="80" xfId="0" applyFont="true" applyAlignment="true" applyBorder="true">
      <alignment horizontal="left" vertical="center" wrapText="true"/>
      <protection locked="false"/>
    </xf>
  </cellXfs>
  <cellStyles count="1">
    <cellStyle xfId="0" name="Normal" builtinId="0"/>
  </cellStyles>
  <dxfs count="148">
    <dxf>
      <font/>
      <fill>
        <patternFill patternType="solid">
          <fgColor rgb="FFB7E1CD"/>
          <bgColor rgb="FFB7E1CD"/>
        </patternFill>
      </fill>
      <border/>
    </dxf>
    <dxf>
      <font/>
    </dxf>
    <dxf>
      <font/>
    </dxf>
    <dxf>
      <font/>
    </dxf>
    <dxf>
      <font/>
    </dxf>
    <dxf>
      <font/>
    </dxf>
    <dxf>
      <font/>
    </dxf>
    <dxf>
      <font>
        <color indexed="55"/>
      </font>
    </dxf>
    <dxf>
      <font/>
    </dxf>
    <dxf>
      <font/>
    </dxf>
    <dxf>
      <font/>
    </dxf>
    <dxf>
      <font/>
    </dxf>
    <dxf>
      <font/>
    </dxf>
    <dxf>
      <font/>
    </dxf>
    <dxf>
      <font/>
    </dxf>
    <dxf>
      <font/>
    </dxf>
    <dxf>
      <font/>
    </dxf>
    <dxf>
      <font/>
    </dxf>
    <dxf>
      <font/>
    </dxf>
    <dxf>
      <font/>
    </dxf>
    <dxf>
      <font/>
    </dxf>
    <dxf>
      <font/>
    </dxf>
    <dxf>
      <font/>
    </dxf>
    <dxf>
      <font/>
    </dxf>
    <dxf>
      <font/>
    </dxf>
    <dxf>
      <font/>
    </dxf>
    <dxf>
      <font>
        <color indexed="55"/>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color indexed="55"/>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color indexed="55"/>
      </font>
    </dxf>
    <dxf>
      <font/>
    </dxf>
    <dxf>
      <font/>
    </dxf>
    <dxf>
      <font/>
    </dxf>
    <dxf>
      <font/>
    </dxf>
    <dxf>
      <font/>
    </dxf>
    <dxf>
      <font/>
    </dxf>
    <dxf>
      <font/>
    </dxf>
    <dxf>
      <font/>
    </dxf>
    <dxf>
      <font/>
    </dxf>
    <dxf>
      <font/>
    </dxf>
    <dxf>
      <font/>
    </dxf>
    <dxf>
      <font/>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5.png" Type="http://schemas.openxmlformats.org/officeDocument/2006/relationships/image"/><Relationship Id="rId2" Target="../media/image2.png" Type="http://schemas.openxmlformats.org/officeDocument/2006/relationships/image"/><Relationship Id="rId3" Target="../media/image6.png" Type="http://schemas.openxmlformats.org/officeDocument/2006/relationships/image"/><Relationship Id="rId4" Target="../media/image1.png" Type="http://schemas.openxmlformats.org/officeDocument/2006/relationships/image"/><Relationship Id="rId5" Target="../media/image3.png" Type="http://schemas.openxmlformats.org/officeDocument/2006/relationships/image"/><Relationship Id="rId6" Target="../media/image4.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17</xdr:row>
      <xdr:rowOff>85725</xdr:rowOff>
    </xdr:from>
    <xdr:ext cx="1143000" cy="33337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20</xdr:row>
      <xdr:rowOff>76200</xdr:rowOff>
    </xdr:from>
    <xdr:ext cx="1152525" cy="3429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209550</xdr:colOff>
      <xdr:row>8</xdr:row>
      <xdr:rowOff>104775</xdr:rowOff>
    </xdr:from>
    <xdr:ext cx="495300" cy="49530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85725</xdr:colOff>
      <xdr:row>14</xdr:row>
      <xdr:rowOff>104775</xdr:rowOff>
    </xdr:from>
    <xdr:ext cx="1152525" cy="333375"/>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447675</xdr:colOff>
      <xdr:row>35</xdr:row>
      <xdr:rowOff>76200</xdr:rowOff>
    </xdr:from>
    <xdr:ext cx="1038225" cy="390525"/>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xdr:row>
      <xdr:rowOff>0</xdr:rowOff>
    </xdr:from>
    <xdr:ext cx="390525" cy="2762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mercadolibre.com.ar/publicaciones/edicion-en-excel/uploa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bre.com.ar/ayuda/3192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dimension ref="A1:O1000"/>
  <sheetViews>
    <sheetView workbookViewId="0"/>
  </sheetViews>
  <sheetFormatPr customHeight="1" defaultColWidth="12.63" defaultRowHeight="15.0"/>
  <cols>
    <col min="1" max="1" customWidth="true" width="12.13"/>
    <col min="2" max="2" customWidth="true" width="6.25"/>
    <col min="3" max="3" customWidth="true" width="1.25"/>
    <col min="4" max="4" customWidth="true" width="32.0"/>
    <col min="5" max="7" customWidth="true" width="6.13"/>
    <col min="8" max="10" customWidth="true" width="7.63"/>
    <col min="11" max="11" customWidth="true" width="1.88"/>
    <col min="12" max="14" customWidth="true" width="14.38"/>
    <col min="15" max="15" customWidth="true" width="12.13"/>
  </cols>
  <sheetData>
    <row r="1" ht="24.0" customHeight="1">
      <c r="A1" s="1"/>
      <c r="B1" s="1"/>
      <c r="C1" s="1"/>
      <c r="D1" s="1"/>
      <c r="E1" s="1"/>
      <c r="F1" s="1"/>
      <c r="G1" s="1"/>
      <c r="H1" s="1"/>
      <c r="I1" s="1"/>
      <c r="J1" s="1"/>
      <c r="K1" s="1"/>
      <c r="L1" s="1"/>
      <c r="M1" s="1"/>
      <c r="N1" s="1"/>
      <c r="O1" s="1"/>
    </row>
    <row r="2" ht="21.75" customHeight="1">
      <c r="A2" s="1"/>
      <c r="B2" s="2" t="s">
        <v>0</v>
      </c>
      <c r="C2" s="3"/>
      <c r="D2" s="3"/>
      <c r="E2" s="3"/>
      <c r="F2" s="3"/>
      <c r="G2" s="3"/>
      <c r="H2" s="3"/>
      <c r="I2" s="3"/>
      <c r="J2" s="3"/>
      <c r="K2" s="3"/>
      <c r="L2" s="3"/>
      <c r="M2" s="3"/>
      <c r="N2" s="4"/>
      <c r="O2" s="1"/>
    </row>
    <row r="3" ht="18.75" customHeight="1">
      <c r="A3" s="1"/>
      <c r="B3" s="5" t="s">
        <v>1</v>
      </c>
      <c r="O3" s="1"/>
    </row>
    <row r="4" ht="30.0" customHeight="1">
      <c r="A4" s="6"/>
      <c r="B4" s="7"/>
      <c r="C4" s="7"/>
      <c r="D4" s="7"/>
      <c r="E4" s="7"/>
      <c r="F4" s="7"/>
      <c r="G4" s="7"/>
      <c r="H4" s="7"/>
      <c r="I4" s="7"/>
      <c r="J4" s="7"/>
      <c r="K4" s="7"/>
      <c r="L4" s="7"/>
      <c r="M4" s="7"/>
      <c r="N4" s="7"/>
      <c r="O4" s="8"/>
    </row>
    <row r="5" ht="3.0" customHeight="1">
      <c r="A5" s="9"/>
      <c r="B5" s="10"/>
      <c r="C5" s="10"/>
      <c r="D5" s="10"/>
      <c r="E5" s="10"/>
      <c r="F5" s="10"/>
      <c r="G5" s="10"/>
      <c r="H5" s="10"/>
      <c r="I5" s="10"/>
      <c r="J5" s="10"/>
      <c r="K5" s="10"/>
      <c r="L5" s="10"/>
      <c r="M5" s="10"/>
      <c r="N5" s="10"/>
      <c r="O5" s="11"/>
    </row>
    <row r="6" ht="24.0" customHeight="1">
      <c r="A6" s="12"/>
      <c r="B6" s="12"/>
      <c r="C6" s="12"/>
      <c r="D6" s="12"/>
      <c r="E6" s="13"/>
      <c r="F6" s="14"/>
      <c r="G6" s="15"/>
      <c r="H6" s="16"/>
      <c r="I6" s="16"/>
      <c r="J6" s="16"/>
      <c r="K6" s="16"/>
      <c r="L6" s="16"/>
      <c r="M6" s="16"/>
      <c r="N6" s="16"/>
      <c r="O6" s="17"/>
    </row>
    <row r="7" ht="18.75" customHeight="1">
      <c r="A7" s="18"/>
      <c r="B7" s="19" t="s">
        <v>2</v>
      </c>
      <c r="C7" s="18"/>
      <c r="D7" s="18"/>
      <c r="E7" s="20"/>
      <c r="F7" s="21"/>
      <c r="G7" s="22" t="s">
        <v>3</v>
      </c>
      <c r="H7" s="23"/>
      <c r="I7" s="24"/>
      <c r="J7" s="24"/>
      <c r="K7" s="24"/>
      <c r="L7" s="24"/>
      <c r="M7" s="24"/>
      <c r="N7" s="24"/>
      <c r="O7" s="25"/>
    </row>
    <row r="8" ht="18.75" customHeight="1">
      <c r="A8" s="26"/>
      <c r="B8" s="27"/>
      <c r="C8" s="26"/>
      <c r="D8" s="26"/>
      <c r="E8" s="20"/>
      <c r="F8" s="21"/>
      <c r="G8" s="28"/>
      <c r="H8" s="29"/>
      <c r="I8" s="30"/>
      <c r="J8" s="30"/>
      <c r="K8" s="30"/>
      <c r="L8" s="30"/>
      <c r="M8" s="30"/>
      <c r="N8" s="30"/>
      <c r="O8" s="31"/>
    </row>
    <row r="9" ht="18.75" customHeight="1">
      <c r="A9" s="26"/>
      <c r="B9" s="32"/>
      <c r="C9" s="33"/>
      <c r="D9" s="33"/>
      <c r="E9" s="20"/>
      <c r="F9" s="21"/>
      <c r="G9" s="28"/>
      <c r="H9" s="34"/>
      <c r="I9" s="35" t="s">
        <v>4</v>
      </c>
      <c r="J9" s="36"/>
      <c r="K9" s="36"/>
      <c r="L9" s="36"/>
      <c r="M9" s="36"/>
      <c r="N9" s="37"/>
      <c r="O9" s="38"/>
    </row>
    <row r="10" ht="18.75" customHeight="1">
      <c r="A10" s="26"/>
      <c r="B10" s="32"/>
      <c r="C10" s="33"/>
      <c r="D10" s="33"/>
      <c r="E10" s="20"/>
      <c r="F10" s="21"/>
      <c r="G10" s="28"/>
      <c r="H10" s="39"/>
      <c r="I10" s="97" t="s">
        <v>14</v>
      </c>
      <c r="J10" s="41"/>
      <c r="K10" s="41"/>
      <c r="L10" s="41"/>
      <c r="M10" s="41"/>
      <c r="N10" s="42"/>
      <c r="O10" s="38"/>
    </row>
    <row r="11" ht="18.75" customHeight="1">
      <c r="A11" s="26"/>
      <c r="B11" s="32"/>
      <c r="C11" s="33"/>
      <c r="D11" s="33"/>
      <c r="E11" s="20"/>
      <c r="F11" s="21"/>
      <c r="G11" s="28"/>
      <c r="H11" s="34"/>
      <c r="I11" s="98" t="s">
        <v>15</v>
      </c>
      <c r="J11" s="36"/>
      <c r="K11" s="36"/>
      <c r="L11" s="36"/>
      <c r="M11" s="36"/>
      <c r="N11" s="37"/>
      <c r="O11" s="44"/>
    </row>
    <row r="12" ht="19.5" customHeight="1">
      <c r="A12" s="26"/>
      <c r="B12" s="32"/>
      <c r="C12" s="33"/>
      <c r="D12" s="33"/>
      <c r="E12" s="20"/>
      <c r="F12" s="21"/>
      <c r="G12" s="45"/>
      <c r="N12" s="21"/>
      <c r="O12" s="46"/>
    </row>
    <row r="13" ht="39.0" customHeight="1">
      <c r="A13" s="26"/>
      <c r="B13" s="32"/>
      <c r="C13" s="33"/>
      <c r="D13" s="33"/>
      <c r="E13" s="20"/>
      <c r="F13" s="21"/>
      <c r="G13" s="47" t="s">
        <v>5</v>
      </c>
      <c r="N13" s="48"/>
      <c r="O13" s="31"/>
    </row>
    <row r="14" ht="18.75" customHeight="1">
      <c r="A14" s="26"/>
      <c r="B14" s="49"/>
      <c r="C14" s="33"/>
      <c r="D14" s="33"/>
      <c r="E14" s="20"/>
      <c r="F14" s="21"/>
      <c r="G14" s="50"/>
      <c r="H14" s="50"/>
      <c r="I14" s="50"/>
      <c r="J14" s="50"/>
      <c r="K14" s="50"/>
      <c r="L14" s="50"/>
      <c r="M14" s="50"/>
      <c r="N14" s="50"/>
      <c r="O14" s="51"/>
    </row>
    <row r="15" ht="18.75" customHeight="1">
      <c r="A15" s="26"/>
      <c r="B15" s="49"/>
      <c r="C15" s="33"/>
      <c r="D15" s="33"/>
      <c r="E15" s="20"/>
      <c r="F15" s="21"/>
      <c r="G15" s="52"/>
      <c r="H15" s="53"/>
      <c r="I15" s="50"/>
      <c r="J15" s="50"/>
      <c r="K15" s="50"/>
      <c r="L15" s="54" t="s">
        <v>6</v>
      </c>
      <c r="N15" s="55"/>
      <c r="O15" s="50"/>
    </row>
    <row r="16" ht="18.75" customHeight="1">
      <c r="A16" s="26"/>
      <c r="B16" s="49"/>
      <c r="C16" s="33"/>
      <c r="D16" s="33"/>
      <c r="E16" s="20"/>
      <c r="F16" s="21"/>
      <c r="G16" s="46"/>
      <c r="H16" s="56"/>
      <c r="I16" s="50"/>
      <c r="J16" s="50"/>
      <c r="K16" s="50"/>
      <c r="L16" s="57"/>
      <c r="M16" s="57"/>
      <c r="N16" s="58"/>
      <c r="O16" s="51"/>
    </row>
    <row r="17" ht="18.75" customHeight="1">
      <c r="A17" s="26"/>
      <c r="B17" s="49"/>
      <c r="C17" s="33"/>
      <c r="D17" s="33"/>
      <c r="E17" s="20"/>
      <c r="F17" s="21"/>
      <c r="G17" s="59"/>
      <c r="H17" s="60"/>
      <c r="I17" s="50"/>
      <c r="J17" s="50"/>
      <c r="K17" s="50"/>
      <c r="L17" s="61"/>
      <c r="M17" s="61"/>
      <c r="N17" s="61"/>
      <c r="O17" s="50"/>
    </row>
    <row r="18" ht="18.75" customHeight="1">
      <c r="A18" s="26"/>
      <c r="B18" s="49"/>
      <c r="C18" s="33"/>
      <c r="D18" s="33"/>
      <c r="E18" s="20"/>
      <c r="F18" s="21"/>
      <c r="G18" s="59"/>
      <c r="H18" s="60"/>
      <c r="I18" s="50"/>
      <c r="J18" s="50"/>
      <c r="K18" s="50"/>
      <c r="L18" s="62" t="s">
        <v>7</v>
      </c>
      <c r="M18" s="63"/>
      <c r="N18" s="64"/>
      <c r="O18" s="50"/>
    </row>
    <row r="19" ht="18.75" customHeight="1">
      <c r="A19" s="26"/>
      <c r="B19" s="49"/>
      <c r="C19" s="33"/>
      <c r="D19" s="33"/>
      <c r="E19" s="20"/>
      <c r="F19" s="21"/>
      <c r="G19" s="59"/>
      <c r="H19" s="60"/>
      <c r="I19" s="50"/>
      <c r="J19" s="50"/>
      <c r="K19" s="50"/>
      <c r="L19" s="65"/>
      <c r="M19" s="36"/>
      <c r="N19" s="66"/>
      <c r="O19" s="50"/>
    </row>
    <row r="20" ht="18.75" customHeight="1">
      <c r="A20" s="26"/>
      <c r="B20" s="49"/>
      <c r="C20" s="33"/>
      <c r="D20" s="33"/>
      <c r="E20" s="20"/>
      <c r="F20" s="21"/>
      <c r="G20" s="59"/>
      <c r="H20" s="60"/>
      <c r="I20" s="50"/>
      <c r="J20" s="50"/>
      <c r="K20" s="50"/>
      <c r="L20" s="67"/>
      <c r="M20" s="67"/>
      <c r="N20" s="67"/>
      <c r="O20" s="50"/>
    </row>
    <row r="21" ht="18.75" customHeight="1">
      <c r="A21" s="26"/>
      <c r="B21" s="68"/>
      <c r="C21" s="33"/>
      <c r="D21" s="33"/>
      <c r="E21" s="20"/>
      <c r="F21" s="21"/>
      <c r="G21" s="59"/>
      <c r="H21" s="60"/>
      <c r="I21" s="50"/>
      <c r="J21" s="50"/>
      <c r="K21" s="50"/>
      <c r="L21" s="69" t="s">
        <v>8</v>
      </c>
      <c r="M21" s="63"/>
      <c r="N21" s="64"/>
      <c r="O21" s="50"/>
    </row>
    <row r="22" ht="18.75" customHeight="1">
      <c r="A22" s="26"/>
      <c r="B22" s="68"/>
      <c r="C22" s="33"/>
      <c r="D22" s="33"/>
      <c r="E22" s="20"/>
      <c r="F22" s="21"/>
      <c r="G22" s="70"/>
      <c r="H22" s="71"/>
      <c r="I22" s="50"/>
      <c r="J22" s="50"/>
      <c r="K22" s="50"/>
      <c r="L22" s="65"/>
      <c r="M22" s="36"/>
      <c r="N22" s="66"/>
      <c r="O22" s="72"/>
    </row>
    <row r="23" ht="30.0" customHeight="1">
      <c r="A23" s="26"/>
      <c r="B23" s="68"/>
      <c r="C23" s="33"/>
      <c r="D23" s="33"/>
      <c r="E23" s="20"/>
      <c r="F23" s="21"/>
      <c r="G23" s="45"/>
      <c r="N23" s="21"/>
      <c r="O23" s="25"/>
    </row>
    <row r="24" ht="19.5" customHeight="1">
      <c r="A24" s="26"/>
      <c r="B24" s="68"/>
      <c r="C24" s="33"/>
      <c r="D24" s="33"/>
      <c r="E24" s="20"/>
      <c r="F24" s="21"/>
      <c r="G24" s="73"/>
      <c r="H24" s="74"/>
      <c r="I24" s="74"/>
      <c r="J24" s="74"/>
      <c r="K24" s="74"/>
      <c r="L24" s="74"/>
      <c r="M24" s="74"/>
      <c r="N24" s="75"/>
      <c r="O24" s="25"/>
    </row>
    <row r="25" ht="18.75" customHeight="1">
      <c r="A25" s="26"/>
      <c r="B25" s="68"/>
      <c r="C25" s="33"/>
      <c r="D25" s="33"/>
      <c r="E25" s="20"/>
      <c r="F25" s="21"/>
      <c r="G25" s="76" t="s">
        <v>9</v>
      </c>
      <c r="H25" s="77"/>
      <c r="I25" s="77"/>
      <c r="J25" s="77"/>
      <c r="K25" s="25"/>
      <c r="L25" s="25"/>
      <c r="M25" s="25"/>
      <c r="N25" s="25"/>
      <c r="O25" s="25"/>
    </row>
    <row r="26" ht="27.75" customHeight="1">
      <c r="A26" s="26"/>
      <c r="B26" s="68"/>
      <c r="C26" s="33"/>
      <c r="D26" s="33"/>
      <c r="E26" s="20"/>
      <c r="F26" s="21"/>
      <c r="G26" s="76"/>
      <c r="H26" s="78"/>
      <c r="I26" s="78"/>
      <c r="J26" s="78"/>
      <c r="K26" s="25"/>
      <c r="L26" s="25"/>
      <c r="M26" s="25"/>
      <c r="N26" s="25"/>
      <c r="O26" s="25"/>
    </row>
    <row r="27" ht="18.75" customHeight="1">
      <c r="A27" s="26"/>
      <c r="B27" s="68"/>
      <c r="C27" s="33"/>
      <c r="D27" s="33"/>
      <c r="E27" s="20"/>
      <c r="F27" s="21"/>
      <c r="G27" s="56"/>
      <c r="H27" s="79"/>
      <c r="I27" s="80"/>
      <c r="J27" s="81"/>
      <c r="K27" s="46"/>
      <c r="L27" s="82" t="s">
        <v>10</v>
      </c>
      <c r="M27" s="25"/>
      <c r="N27" s="25"/>
      <c r="O27" s="25"/>
    </row>
    <row r="28" ht="18.75" customHeight="1">
      <c r="A28" s="26"/>
      <c r="B28" s="33"/>
      <c r="C28" s="33"/>
      <c r="D28" s="33"/>
      <c r="E28" s="20"/>
      <c r="F28" s="21"/>
      <c r="G28" s="56"/>
      <c r="H28" s="83"/>
      <c r="J28" s="48"/>
      <c r="K28" s="46"/>
      <c r="L28" s="25"/>
      <c r="M28" s="25"/>
      <c r="N28" s="25"/>
      <c r="O28" s="46"/>
    </row>
    <row r="29" ht="18.75" customHeight="1">
      <c r="A29" s="26"/>
      <c r="B29" s="33"/>
      <c r="C29" s="33"/>
      <c r="D29" s="33"/>
      <c r="E29" s="20"/>
      <c r="F29" s="21"/>
      <c r="G29" s="60"/>
      <c r="H29" s="101" t="s">
        <v>18</v>
      </c>
      <c r="I29" s="85"/>
      <c r="J29" s="86"/>
      <c r="K29" s="59"/>
      <c r="L29" s="87" t="s">
        <v>12</v>
      </c>
      <c r="M29" s="31"/>
      <c r="N29" s="31"/>
      <c r="O29" s="25"/>
    </row>
    <row r="30" ht="18.75" customHeight="1">
      <c r="A30" s="26"/>
      <c r="B30" s="33"/>
      <c r="C30" s="33"/>
      <c r="D30" s="33"/>
      <c r="E30" s="20"/>
      <c r="F30" s="21"/>
      <c r="G30" s="50"/>
      <c r="H30" s="88"/>
      <c r="I30" s="88"/>
      <c r="J30" s="88"/>
      <c r="K30" s="50"/>
      <c r="L30" s="50"/>
      <c r="M30" s="50"/>
      <c r="N30" s="50"/>
      <c r="O30" s="25"/>
    </row>
    <row r="31" ht="18.75" customHeight="1" hidden="true">
      <c r="A31" s="26"/>
      <c r="B31" s="33"/>
      <c r="C31" s="33"/>
      <c r="D31" s="33"/>
      <c r="E31" s="20"/>
      <c r="F31" s="21"/>
      <c r="G31" s="53"/>
      <c r="H31" s="84" t="s">
        <v>13</v>
      </c>
      <c r="I31" s="85"/>
      <c r="J31" s="86"/>
      <c r="K31" s="59"/>
      <c r="L31" s="87" t="s">
        <v>12</v>
      </c>
      <c r="M31" s="31"/>
      <c r="N31" s="52"/>
      <c r="O31" s="89"/>
    </row>
    <row r="32" ht="18.75" customHeight="1" hidden="true">
      <c r="A32" s="26"/>
      <c r="B32" s="33"/>
      <c r="C32" s="33"/>
      <c r="D32" s="33"/>
      <c r="E32" s="20"/>
      <c r="F32" s="21"/>
      <c r="G32" s="90"/>
      <c r="H32" s="31"/>
      <c r="I32" s="25"/>
      <c r="J32" s="25"/>
      <c r="K32" s="25"/>
      <c r="L32" s="25"/>
      <c r="M32" s="25"/>
      <c r="N32" s="25"/>
      <c r="O32" s="25"/>
    </row>
    <row r="33" ht="18.75" customHeight="1" hidden="true">
      <c r="A33" s="26"/>
      <c r="B33" s="33"/>
      <c r="C33" s="33"/>
      <c r="D33" s="33"/>
      <c r="E33" s="20"/>
      <c r="F33" s="21"/>
      <c r="G33" s="25"/>
      <c r="H33" s="25"/>
      <c r="I33" s="91"/>
      <c r="J33" s="92"/>
      <c r="K33" s="92"/>
      <c r="L33" s="92"/>
      <c r="M33" s="92"/>
      <c r="N33" s="93"/>
      <c r="O33" s="25"/>
    </row>
    <row r="34" ht="18.75" customHeight="1">
      <c r="A34" s="26"/>
      <c r="B34" s="33"/>
      <c r="C34" s="33"/>
      <c r="D34" s="33"/>
      <c r="E34" s="20"/>
      <c r="F34" s="21"/>
      <c r="G34" s="25"/>
      <c r="H34" s="25"/>
      <c r="I34" s="25"/>
      <c r="J34" s="25"/>
      <c r="K34" s="25"/>
      <c r="L34" s="25"/>
      <c r="M34" s="25"/>
      <c r="N34" s="25"/>
      <c r="O34" s="25"/>
    </row>
    <row r="35" ht="18.75" customHeight="1">
      <c r="A35" s="26"/>
      <c r="B35" s="33"/>
      <c r="C35" s="33"/>
      <c r="D35" s="33"/>
      <c r="E35" s="20"/>
      <c r="F35" s="21"/>
      <c r="G35" s="99" t="s">
        <v>16</v>
      </c>
      <c r="H35" s="25"/>
      <c r="I35" s="25"/>
      <c r="J35" s="25"/>
      <c r="K35" s="25"/>
      <c r="L35" s="25"/>
      <c r="M35" s="25"/>
      <c r="N35" s="25"/>
      <c r="O35" s="25"/>
    </row>
    <row r="36" ht="18.75" customHeight="1">
      <c r="A36" s="26"/>
      <c r="B36" s="33"/>
      <c r="C36" s="33"/>
      <c r="D36" s="33"/>
      <c r="E36" s="20"/>
      <c r="F36" s="21"/>
      <c r="G36" s="25"/>
      <c r="H36" s="25"/>
      <c r="I36" s="100" t="s">
        <v>17</v>
      </c>
      <c r="O36" s="21"/>
    </row>
    <row r="37" ht="18.75" customHeight="1">
      <c r="A37" s="26"/>
      <c r="B37" s="33"/>
      <c r="C37" s="33"/>
      <c r="D37" s="33"/>
      <c r="E37" s="20"/>
      <c r="F37" s="21"/>
      <c r="G37" s="25"/>
      <c r="H37" s="25"/>
      <c r="I37" s="41"/>
      <c r="J37" s="41"/>
      <c r="K37" s="41"/>
      <c r="L37" s="41"/>
      <c r="M37" s="41"/>
      <c r="N37" s="41"/>
      <c r="O37" s="95"/>
    </row>
    <row r="38" ht="18.75" customHeight="1">
      <c r="A38" s="26"/>
      <c r="B38" s="33"/>
      <c r="C38" s="33"/>
      <c r="D38" s="33"/>
      <c r="E38" s="20"/>
      <c r="F38" s="21"/>
      <c r="G38" s="25"/>
      <c r="H38" s="25"/>
      <c r="I38" s="25"/>
      <c r="J38" s="25"/>
      <c r="K38" s="25"/>
      <c r="L38" s="25"/>
      <c r="M38" s="25"/>
      <c r="N38" s="25"/>
      <c r="O38" s="25"/>
    </row>
    <row r="39" ht="18.75" customHeight="1">
      <c r="A39" s="26"/>
      <c r="B39" s="33"/>
      <c r="C39" s="33"/>
      <c r="D39" s="33"/>
      <c r="E39" s="20"/>
      <c r="F39" s="21"/>
      <c r="G39" s="25"/>
      <c r="H39" s="25"/>
      <c r="I39" s="25"/>
      <c r="J39" s="25"/>
      <c r="K39" s="25"/>
      <c r="L39" s="25"/>
      <c r="M39" s="25"/>
      <c r="N39" s="25"/>
      <c r="O39" s="25"/>
    </row>
    <row r="40" ht="18.75" customHeight="1">
      <c r="A40" s="26"/>
      <c r="B40" s="33"/>
      <c r="C40" s="33"/>
      <c r="D40" s="33"/>
      <c r="E40" s="96"/>
      <c r="F40" s="95"/>
      <c r="G40" s="25"/>
      <c r="H40" s="25"/>
      <c r="I40" s="25"/>
      <c r="J40" s="25"/>
      <c r="K40" s="25"/>
      <c r="L40" s="25"/>
      <c r="M40" s="25"/>
      <c r="N40" s="25"/>
      <c r="O40" s="2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33:N33"/>
    <mergeCell ref="I36:O37"/>
    <mergeCell ref="B2:N2"/>
    <mergeCell ref="B3:N3"/>
    <mergeCell ref="A4:O4"/>
    <mergeCell ref="A5:O5"/>
    <mergeCell ref="E6:E40"/>
    <mergeCell ref="F6:F40"/>
    <mergeCell ref="G6:O6"/>
    <mergeCell ref="I9:N9"/>
    <mergeCell ref="I10:N10"/>
    <mergeCell ref="I11:N11"/>
    <mergeCell ref="G12:N12"/>
    <mergeCell ref="G13:N13"/>
    <mergeCell ref="L15:N16"/>
    <mergeCell ref="L18:N19"/>
    <mergeCell ref="L21:N22"/>
    <mergeCell ref="G23:N23"/>
    <mergeCell ref="G24:N24"/>
    <mergeCell ref="H27:J27"/>
    <mergeCell ref="H28:J28"/>
    <mergeCell ref="H29:J29"/>
    <mergeCell ref="H31:J31"/>
  </mergeCells>
  <conditionalFormatting sqref="A4:O4">
    <cfRule type="notContainsBlanks" dxfId="0" priority="1">
      <formula>LEN(TRIM(A4))&gt;0</formula>
    </cfRule>
  </conditionalFormatting>
  <conditionalFormatting sqref="F6:F40">
    <cfRule type="notContainsBlanks" dxfId="0" priority="2">
      <formula>LEN(TRIM(F6))&gt;0</formula>
    </cfRule>
  </conditionalFormatting>
  <hyperlinks>
    <hyperlink ref="I10" r:id="rId2"/>
  </hyperlinks>
  <drawing r:id="rId1"/>
</worksheet>
</file>

<file path=xl/worksheets/sheet2.xml><?xml version="1.0" encoding="utf-8"?>
<worksheet xmlns="http://schemas.openxmlformats.org/spreadsheetml/2006/main">
  <dimension ref="A1"/>
  <sheetViews>
    <sheetView workbookViewId="0"/>
  </sheetViews>
  <sheetFormatPr defaultRowHeight="15.0"/>
  <sheetData>
    <row r="1">
      <c r="A1" s="0" t="s">
        <v>19</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E30"/>
  <sheetViews>
    <sheetView workbookViewId="0"/>
  </sheetViews>
  <sheetFormatPr defaultRowHeight="15.0"/>
  <cols>
    <col min="1" max="1" style="0" width="18.75" customWidth="true"/>
    <col min="2" max="2" style="0" width="17.578125" customWidth="true"/>
    <col min="3" max="3" style="0" width="17.578125" customWidth="true"/>
    <col min="4" max="4" style="0" width="17.578125" customWidth="true" hidden="true"/>
    <col min="5" max="5" style="0" width="17.578125" customWidth="true"/>
    <col min="6" max="6" style="0" width="58.59375" customWidth="true"/>
    <col min="7" max="7" style="0" width="17.578125" customWidth="true"/>
    <col min="8" max="8" style="0" width="23.4375" customWidth="true"/>
    <col min="9" max="9" style="0" width="23.4375" customWidth="true"/>
    <col min="10" max="10" style="0" width="17.578125" customWidth="true"/>
    <col min="11" max="11" style="0" width="17.578125" customWidth="true"/>
    <col min="12" max="12" style="0" width="17.578125" customWidth="true"/>
    <col min="13" max="13" style="0" width="17.578125" customWidth="true"/>
    <col min="14" max="14" style="0" width="31.25" customWidth="true"/>
    <col min="15" max="15" style="0" width="31.25" customWidth="true"/>
    <col min="16" max="16" style="0" width="31.25" customWidth="true"/>
    <col min="17" max="17" style="0" width="31.25" customWidth="true"/>
    <col min="18" max="18" style="0" width="31.25" customWidth="true"/>
    <col min="19" max="19" style="0" width="31.25" customWidth="true"/>
    <col min="20" max="20" style="0" width="31.25" customWidth="true"/>
    <col min="21" max="21" style="0" width="31.25" customWidth="true"/>
    <col min="22" max="22" style="0" width="31.25" customWidth="true"/>
    <col min="23" max="23" style="0" width="31.25" customWidth="true"/>
    <col min="24" max="24" style="0" width="21.484375" customWidth="true"/>
    <col min="25" max="25" style="0" width="70.3125" customWidth="true"/>
    <col min="26" max="26" style="0" width="39.0625" customWidth="true"/>
    <col min="27" max="27" style="0" width="17.578125" customWidth="true"/>
    <col min="28" max="28" style="0" width="35.15625" customWidth="true"/>
    <col min="29" max="29" style="0" width="17.578125" customWidth="true"/>
    <col min="30" max="30" style="0" width="50.78125" customWidth="true"/>
    <col min="31" max="31" style="0" width="21.484375" customWidth="true"/>
  </cols>
  <sheetData>
    <row r="1" ht="0.0" customHeight="true">
      <c r="A1" s="102" t="s">
        <v>20</v>
      </c>
      <c r="B1" s="102" t="s">
        <v>23</v>
      </c>
      <c r="C1" s="102" t="s">
        <v>25</v>
      </c>
      <c r="D1" s="102" t="s">
        <v>27</v>
      </c>
      <c r="E1" s="102" t="s">
        <v>29</v>
      </c>
      <c r="F1" s="102" t="s">
        <v>30</v>
      </c>
      <c r="G1" s="102" t="s">
        <v>32</v>
      </c>
      <c r="H1" s="102" t="s">
        <v>34</v>
      </c>
      <c r="I1" s="102" t="s">
        <v>37</v>
      </c>
      <c r="J1" s="102" t="s">
        <v>40</v>
      </c>
      <c r="K1" s="102" t="s">
        <v>42</v>
      </c>
      <c r="L1" s="102" t="s">
        <v>44</v>
      </c>
      <c r="M1" s="102" t="s">
        <v>46</v>
      </c>
      <c r="N1" s="102" t="s">
        <v>48</v>
      </c>
      <c r="O1" s="102" t="s">
        <v>50</v>
      </c>
      <c r="P1" s="102" t="s">
        <v>52</v>
      </c>
      <c r="Q1" s="102" t="s">
        <v>53</v>
      </c>
      <c r="R1" s="102" t="s">
        <v>54</v>
      </c>
      <c r="S1" s="102" t="s">
        <v>55</v>
      </c>
      <c r="T1" s="102" t="s">
        <v>56</v>
      </c>
      <c r="U1" s="102" t="s">
        <v>57</v>
      </c>
      <c r="V1" s="102" t="s">
        <v>58</v>
      </c>
      <c r="W1" s="102" t="s">
        <v>59</v>
      </c>
      <c r="X1" s="102" t="s">
        <v>65</v>
      </c>
      <c r="Y1" s="102" t="s">
        <v>67</v>
      </c>
      <c r="Z1" s="102" t="s">
        <v>70</v>
      </c>
      <c r="AA1" s="102" t="s">
        <v>73</v>
      </c>
      <c r="AB1" s="102" t="s">
        <v>75</v>
      </c>
      <c r="AC1" s="102" t="s">
        <v>77</v>
      </c>
      <c r="AD1" s="102" t="s">
        <v>79</v>
      </c>
      <c r="AE1" s="102" t="s">
        <v>81</v>
      </c>
    </row>
    <row r="2" ht="42.5" customHeight="true">
      <c r="A2" t="s" s="105">
        <v>2</v>
      </c>
      <c r="H2" t="s" s="106">
        <v>39</v>
      </c>
      <c r="J2" t="s" s="109">
        <v>69</v>
      </c>
      <c r="Z2" t="s" s="111">
        <v>72</v>
      </c>
      <c r="AA2" t="s" s="114">
        <v>83</v>
      </c>
    </row>
    <row r="3" ht="42.5" customHeight="true">
      <c r="A3" t="s" s="104">
        <v>22</v>
      </c>
      <c r="B3" t="s" s="104">
        <v>24</v>
      </c>
      <c r="C3" t="s" s="104">
        <v>26</v>
      </c>
      <c r="D3" t="s" s="104">
        <v>28</v>
      </c>
      <c r="E3" t="s" s="104">
        <v>29</v>
      </c>
      <c r="F3" t="s" s="104">
        <v>31</v>
      </c>
      <c r="G3" t="s" s="104">
        <v>33</v>
      </c>
      <c r="H3" t="s" s="106">
        <v>36</v>
      </c>
      <c r="I3" t="s" s="106">
        <v>38</v>
      </c>
      <c r="J3" t="s" s="107">
        <v>41</v>
      </c>
      <c r="K3" t="s" s="107">
        <v>43</v>
      </c>
      <c r="L3" t="s" s="107">
        <v>45</v>
      </c>
      <c r="M3" t="s" s="107">
        <v>47</v>
      </c>
      <c r="N3" t="s" s="107">
        <v>64</v>
      </c>
      <c r="O3" s="0"/>
      <c r="P3" t="s" s="107">
        <v>63</v>
      </c>
      <c r="Q3" s="0"/>
      <c r="R3" t="s" s="107">
        <v>62</v>
      </c>
      <c r="S3" s="0"/>
      <c r="T3" t="s" s="107">
        <v>61</v>
      </c>
      <c r="U3" s="0"/>
      <c r="V3" t="s" s="107">
        <v>60</v>
      </c>
      <c r="W3" s="0"/>
      <c r="X3" t="s" s="107">
        <v>66</v>
      </c>
      <c r="Y3" t="s" s="107">
        <v>68</v>
      </c>
      <c r="Z3" t="s" s="110">
        <v>71</v>
      </c>
      <c r="AA3" t="s" s="112">
        <v>74</v>
      </c>
      <c r="AB3" t="s" s="112">
        <v>76</v>
      </c>
      <c r="AC3" t="s" s="112">
        <v>78</v>
      </c>
      <c r="AD3" t="s" s="112">
        <v>80</v>
      </c>
      <c r="AE3" t="s" s="112">
        <v>82</v>
      </c>
    </row>
    <row r="4" ht="38.0" customHeight="true">
      <c r="A4" t="s" s="104">
        <v>22</v>
      </c>
      <c r="B4" t="s" s="104">
        <v>24</v>
      </c>
      <c r="C4" t="s" s="104">
        <v>26</v>
      </c>
      <c r="D4" t="s" s="104">
        <v>28</v>
      </c>
      <c r="E4" t="s" s="104">
        <v>29</v>
      </c>
      <c r="F4" t="s" s="104">
        <v>31</v>
      </c>
      <c r="G4" t="s" s="104">
        <v>33</v>
      </c>
      <c r="H4" t="s" s="106">
        <v>36</v>
      </c>
      <c r="I4" t="s" s="106">
        <v>38</v>
      </c>
      <c r="J4" t="s" s="107">
        <v>41</v>
      </c>
      <c r="K4" t="s" s="107">
        <v>43</v>
      </c>
      <c r="L4" t="s" s="107">
        <v>45</v>
      </c>
      <c r="M4" t="s" s="107">
        <v>47</v>
      </c>
      <c r="N4" t="s" s="108">
        <v>49</v>
      </c>
      <c r="O4" t="s" s="108">
        <v>51</v>
      </c>
      <c r="P4" t="s" s="108">
        <v>49</v>
      </c>
      <c r="Q4" t="s" s="108">
        <v>51</v>
      </c>
      <c r="R4" t="s" s="108">
        <v>49</v>
      </c>
      <c r="S4" t="s" s="108">
        <v>51</v>
      </c>
      <c r="T4" t="s" s="108">
        <v>49</v>
      </c>
      <c r="U4" t="s" s="108">
        <v>51</v>
      </c>
      <c r="V4" t="s" s="108">
        <v>49</v>
      </c>
      <c r="W4" t="s" s="108">
        <v>51</v>
      </c>
      <c r="X4" t="s" s="107">
        <v>66</v>
      </c>
      <c r="Y4" t="s" s="107">
        <v>68</v>
      </c>
      <c r="Z4" t="s" s="110">
        <v>71</v>
      </c>
      <c r="AA4" t="s" s="112">
        <v>74</v>
      </c>
      <c r="AB4" t="s" s="112">
        <v>76</v>
      </c>
      <c r="AC4" t="s" s="112">
        <v>78</v>
      </c>
      <c r="AD4" t="s" s="113">
        <v>80</v>
      </c>
      <c r="AE4" t="s" s="112">
        <v>82</v>
      </c>
    </row>
    <row r="5" ht="15.0" customHeight="true">
      <c r="A5" s="103" t="s">
        <v>21</v>
      </c>
      <c r="B5" s="103" t="s">
        <v>21</v>
      </c>
      <c r="C5" s="103" t="s">
        <v>21</v>
      </c>
      <c r="D5" s="103" t="s">
        <v>21</v>
      </c>
      <c r="E5" s="103" t="s">
        <v>21</v>
      </c>
      <c r="F5" s="103" t="s">
        <v>21</v>
      </c>
      <c r="G5" s="103" t="s">
        <v>21</v>
      </c>
      <c r="H5" s="103" t="s">
        <v>35</v>
      </c>
      <c r="I5" s="103" t="s">
        <v>21</v>
      </c>
      <c r="J5" s="103" t="s">
        <v>35</v>
      </c>
      <c r="K5" s="103" t="s">
        <v>35</v>
      </c>
      <c r="L5" s="103" t="s">
        <v>35</v>
      </c>
      <c r="M5" s="103" t="s">
        <v>35</v>
      </c>
      <c r="N5" s="103" t="s">
        <v>21</v>
      </c>
      <c r="O5" s="103" t="s">
        <v>21</v>
      </c>
      <c r="P5" s="103" t="s">
        <v>21</v>
      </c>
      <c r="Q5" s="103" t="s">
        <v>21</v>
      </c>
      <c r="R5" s="103" t="s">
        <v>21</v>
      </c>
      <c r="S5" s="103" t="s">
        <v>21</v>
      </c>
      <c r="T5" s="103" t="s">
        <v>21</v>
      </c>
      <c r="U5" s="103" t="s">
        <v>21</v>
      </c>
      <c r="V5" s="103" t="s">
        <v>21</v>
      </c>
      <c r="W5" s="103" t="s">
        <v>21</v>
      </c>
      <c r="X5" s="103" t="s">
        <v>35</v>
      </c>
      <c r="Y5" s="103" t="s">
        <v>21</v>
      </c>
      <c r="Z5" s="103" t="s">
        <v>21</v>
      </c>
      <c r="AA5" s="103" t="s">
        <v>21</v>
      </c>
      <c r="AB5" s="103" t="s">
        <v>21</v>
      </c>
      <c r="AC5" s="103" t="s">
        <v>21</v>
      </c>
      <c r="AD5" s="103" t="s">
        <v>21</v>
      </c>
      <c r="AE5" s="103" t="s">
        <v>21</v>
      </c>
    </row>
    <row r="6" ht="110.0" customHeight="true">
      <c r="A6" s="115"/>
      <c r="B6" s="115"/>
      <c r="C6" s="115"/>
      <c r="D6" s="115"/>
      <c r="E6" s="115"/>
      <c r="F6" s="115"/>
      <c r="G6" s="115"/>
      <c r="H6" s="115"/>
      <c r="I6" s="115" t="s">
        <v>84</v>
      </c>
      <c r="J6" s="115"/>
      <c r="K6" s="115" t="s">
        <v>85</v>
      </c>
      <c r="L6" s="115" t="s">
        <v>85</v>
      </c>
      <c r="M6" s="115" t="s">
        <v>86</v>
      </c>
      <c r="N6" s="115" t="s">
        <v>87</v>
      </c>
      <c r="O6" s="115" t="s">
        <v>87</v>
      </c>
      <c r="P6" s="115" t="s">
        <v>87</v>
      </c>
      <c r="Q6" s="115" t="s">
        <v>87</v>
      </c>
      <c r="R6" s="115" t="s">
        <v>87</v>
      </c>
      <c r="S6" s="115" t="s">
        <v>87</v>
      </c>
      <c r="T6" s="115" t="s">
        <v>87</v>
      </c>
      <c r="U6" s="115" t="s">
        <v>87</v>
      </c>
      <c r="V6" s="115" t="s">
        <v>87</v>
      </c>
      <c r="W6" s="115" t="s">
        <v>87</v>
      </c>
      <c r="X6" s="115" t="s">
        <v>89</v>
      </c>
      <c r="Y6" s="115"/>
      <c r="Z6" s="115"/>
      <c r="AA6" s="115"/>
      <c r="AB6" s="115"/>
      <c r="AC6" s="115" t="s">
        <v>90</v>
      </c>
      <c r="AD6" s="115" t="s">
        <v>91</v>
      </c>
      <c r="AE6" s="115" t="s">
        <v>92</v>
      </c>
    </row>
    <row r="7" ht="50.0" customHeight="true">
      <c r="A7" s="116" t="s">
        <v>93</v>
      </c>
      <c r="B7" s="116" t="s">
        <v>94</v>
      </c>
      <c r="C7" s="116" t="s">
        <v>95</v>
      </c>
      <c r="D7" s="116"/>
      <c r="E7" s="117"/>
      <c r="F7" s="116" t="s">
        <v>96</v>
      </c>
      <c r="G7" s="116" t="s">
        <v>96</v>
      </c>
      <c r="H7" s="118" t="n">
        <v>97.0</v>
      </c>
      <c r="I7" s="116" t="s">
        <v>97</v>
      </c>
      <c r="J7" s="118" t="n">
        <v>28000.0</v>
      </c>
      <c r="K7" s="118" t="s">
        <v>98</v>
      </c>
      <c r="L7" s="118" t="s">
        <v>99</v>
      </c>
      <c r="M7" s="118" t="s">
        <v>100</v>
      </c>
      <c r="N7" s="118" t="n">
        <v>23000.0</v>
      </c>
      <c r="O7" s="118" t="n">
        <v>4.0</v>
      </c>
      <c r="P7" s="118"/>
      <c r="Q7" s="118"/>
      <c r="R7" s="118"/>
      <c r="S7" s="118"/>
      <c r="T7" s="118"/>
      <c r="U7" s="118"/>
      <c r="V7" s="118"/>
      <c r="W7" s="118"/>
      <c r="X7" s="118" t="s">
        <v>101</v>
      </c>
      <c r="Y7" s="119" t="s">
        <v>102</v>
      </c>
      <c r="Z7" s="118" t="s">
        <v>103</v>
      </c>
      <c r="AA7" s="118" t="s">
        <v>104</v>
      </c>
      <c r="AB7" s="116" t="s">
        <v>105</v>
      </c>
      <c r="AC7" s="116">
        <f>IF(INDIRECT("AD7")="No agregar cuotas","14.30% + $3320.00",IF(INDIRECT("AD7")="Cuotas con interés bajo en uno o ambos canales","14.30% + $3320.00",IF(INDIRECT("AD7")="Agregar cuotas","14.30% + $3320.00","-")))</f>
      </c>
      <c r="AD7" s="118" t="s">
        <v>106</v>
      </c>
      <c r="AE7" s="116">
        <f>IF(INDIRECT("AD7")="No agregar cuotas","0.00%",IF(INDIRECT("AD7")="Cuotas con interés bajo en uno o ambos canales","0.00%",IF(INDIRECT("AD7")="Agregar cuotas","13.40%","-")))</f>
      </c>
    </row>
    <row r="8" ht="50.0" customHeight="true">
      <c r="A8" s="116" t="s">
        <v>107</v>
      </c>
      <c r="B8" s="116" t="s">
        <v>108</v>
      </c>
      <c r="C8" s="116" t="s">
        <v>109</v>
      </c>
      <c r="D8" s="116"/>
      <c r="E8" s="117"/>
      <c r="F8" s="116" t="s">
        <v>110</v>
      </c>
      <c r="G8" s="116" t="s">
        <v>111</v>
      </c>
      <c r="H8" s="118" t="n">
        <v>23.0</v>
      </c>
      <c r="I8" s="116" t="s">
        <v>97</v>
      </c>
      <c r="J8" s="118" t="n">
        <v>220000.0</v>
      </c>
      <c r="K8" s="118" t="s">
        <v>98</v>
      </c>
      <c r="L8" s="118" t="s">
        <v>99</v>
      </c>
      <c r="M8" s="118" t="s">
        <v>100</v>
      </c>
      <c r="N8" s="118" t="n">
        <v>190000.0</v>
      </c>
      <c r="O8" s="118" t="n">
        <v>3.0</v>
      </c>
      <c r="P8" s="118"/>
      <c r="Q8" s="118"/>
      <c r="R8" s="118"/>
      <c r="S8" s="118"/>
      <c r="T8" s="118"/>
      <c r="U8" s="118"/>
      <c r="V8" s="118"/>
      <c r="W8" s="118"/>
      <c r="X8" s="118" t="s">
        <v>101</v>
      </c>
      <c r="Y8" s="119" t="s">
        <v>112</v>
      </c>
      <c r="Z8" s="118" t="s">
        <v>103</v>
      </c>
      <c r="AA8" s="118" t="s">
        <v>104</v>
      </c>
      <c r="AB8" s="116" t="s">
        <v>113</v>
      </c>
      <c r="AC8" s="116">
        <f>IF(INDIRECT("AD8")="No agregar cuotas","14.30% + $0.00",IF(INDIRECT("AD8")="Cuotas con interés bajo en uno o ambos canales","14.30% + $0.00",IF(INDIRECT("AD8")="Agregar cuotas","14.30% + $0.00","-")))</f>
      </c>
      <c r="AD8" s="116" t="s">
        <v>114</v>
      </c>
      <c r="AE8" s="116">
        <f>IF(INDIRECT("AD8")="No agregar cuotas","5.00%",IF(INDIRECT("AD8")="Cuotas con interés bajo en uno o ambos canales","5.00%",IF(INDIRECT("AD8")="Agregar cuotas","13.40%","-")))</f>
      </c>
    </row>
    <row r="9" ht="50.0" customHeight="true">
      <c r="A9" s="116" t="s">
        <v>115</v>
      </c>
      <c r="B9" s="116" t="s">
        <v>116</v>
      </c>
      <c r="C9" s="116" t="s">
        <v>117</v>
      </c>
      <c r="D9" s="116"/>
      <c r="E9" s="117"/>
      <c r="F9" s="116" t="s">
        <v>118</v>
      </c>
      <c r="G9" s="116" t="s">
        <v>118</v>
      </c>
      <c r="H9" s="118" t="n">
        <v>48.0</v>
      </c>
      <c r="I9" s="116" t="s">
        <v>97</v>
      </c>
      <c r="J9" s="118" t="n">
        <v>50000.0</v>
      </c>
      <c r="K9" s="118" t="s">
        <v>98</v>
      </c>
      <c r="L9" s="118" t="s">
        <v>99</v>
      </c>
      <c r="M9" s="118" t="s">
        <v>100</v>
      </c>
      <c r="N9" s="118" t="n">
        <v>45000.0</v>
      </c>
      <c r="O9" s="118" t="n">
        <v>3.0</v>
      </c>
      <c r="P9" s="118"/>
      <c r="Q9" s="118"/>
      <c r="R9" s="118"/>
      <c r="S9" s="118"/>
      <c r="T9" s="118"/>
      <c r="U9" s="118"/>
      <c r="V9" s="118"/>
      <c r="W9" s="118"/>
      <c r="X9" s="118" t="s">
        <v>101</v>
      </c>
      <c r="Y9" s="119" t="s">
        <v>119</v>
      </c>
      <c r="Z9" s="118" t="s">
        <v>103</v>
      </c>
      <c r="AA9" s="118" t="s">
        <v>104</v>
      </c>
      <c r="AB9" s="116" t="s">
        <v>105</v>
      </c>
      <c r="AC9" s="116">
        <f>IF(INDIRECT("AD9")="No agregar cuotas","14.30% + $0.00",IF(INDIRECT("AD9")="Cuotas con interés bajo en uno o ambos canales","14.30% + $0.00",IF(INDIRECT("AD9")="Agregar cuotas","14.30% + $0.00","-")))</f>
      </c>
      <c r="AD9" s="116" t="s">
        <v>114</v>
      </c>
      <c r="AE9" s="116">
        <f>IF(INDIRECT("AD9")="No agregar cuotas","5.00%",IF(INDIRECT("AD9")="Cuotas con interés bajo en uno o ambos canales","5.00%",IF(INDIRECT("AD9")="Agregar cuotas","13.40%","-")))</f>
      </c>
    </row>
    <row r="10" ht="50.0" customHeight="true">
      <c r="A10" s="116" t="s">
        <v>120</v>
      </c>
      <c r="B10" s="116" t="s">
        <v>121</v>
      </c>
      <c r="C10" s="116" t="s">
        <v>122</v>
      </c>
      <c r="D10" s="116"/>
      <c r="E10" s="117"/>
      <c r="F10" s="116" t="s">
        <v>123</v>
      </c>
      <c r="G10" s="116" t="s">
        <v>111</v>
      </c>
      <c r="H10" s="118" t="n">
        <v>10.0</v>
      </c>
      <c r="I10" s="116" t="s">
        <v>97</v>
      </c>
      <c r="J10" s="118" t="n">
        <v>396009.6</v>
      </c>
      <c r="K10" s="118" t="s">
        <v>98</v>
      </c>
      <c r="L10" s="118" t="s">
        <v>99</v>
      </c>
      <c r="M10" s="118" t="s">
        <v>100</v>
      </c>
      <c r="N10" s="118" t="n">
        <v>350000.0</v>
      </c>
      <c r="O10" s="118" t="n">
        <v>3.0</v>
      </c>
      <c r="P10" s="118"/>
      <c r="Q10" s="118"/>
      <c r="R10" s="118"/>
      <c r="S10" s="118"/>
      <c r="T10" s="118"/>
      <c r="U10" s="118"/>
      <c r="V10" s="118"/>
      <c r="W10" s="118"/>
      <c r="X10" s="118" t="s">
        <v>101</v>
      </c>
      <c r="Y10" s="119" t="s">
        <v>124</v>
      </c>
      <c r="Z10" s="118" t="s">
        <v>103</v>
      </c>
      <c r="AA10" s="118" t="s">
        <v>104</v>
      </c>
      <c r="AB10" s="116" t="s">
        <v>113</v>
      </c>
      <c r="AC10" s="116">
        <f>IF(INDIRECT("AD10")="No agregar cuotas","14.30% + $0.00",IF(INDIRECT("AD10")="Cuotas con interés bajo en uno o ambos canales","14.30% + $0.00",IF(INDIRECT("AD10")="Agregar cuotas","14.30% + $0.00","-")))</f>
      </c>
      <c r="AD10" s="118" t="s">
        <v>125</v>
      </c>
      <c r="AE10" s="116">
        <f>IF(INDIRECT("AD10")="No agregar cuotas","0.00%",IF(INDIRECT("AD10")="Cuotas con interés bajo en uno o ambos canales","0.00%",IF(INDIRECT("AD10")="Agregar cuotas","13.40%","-")))</f>
      </c>
    </row>
    <row r="11" ht="50.0" customHeight="true">
      <c r="A11" s="116" t="s">
        <v>126</v>
      </c>
      <c r="B11" s="116" t="s">
        <v>127</v>
      </c>
      <c r="C11" s="116" t="s">
        <v>128</v>
      </c>
      <c r="D11" s="116"/>
      <c r="E11" s="117"/>
      <c r="F11" s="116" t="s">
        <v>129</v>
      </c>
      <c r="G11" s="116" t="s">
        <v>129</v>
      </c>
      <c r="H11" s="118" t="n">
        <v>55.0</v>
      </c>
      <c r="I11" s="116" t="s">
        <v>97</v>
      </c>
      <c r="J11" s="118" t="n">
        <v>35000.0</v>
      </c>
      <c r="K11" s="118" t="s">
        <v>98</v>
      </c>
      <c r="L11" s="118" t="s">
        <v>99</v>
      </c>
      <c r="M11" s="118" t="s">
        <v>100</v>
      </c>
      <c r="N11" s="118" t="n">
        <v>31000.0</v>
      </c>
      <c r="O11" s="118" t="n">
        <v>4.0</v>
      </c>
      <c r="P11" s="118"/>
      <c r="Q11" s="118"/>
      <c r="R11" s="118"/>
      <c r="S11" s="118"/>
      <c r="T11" s="118"/>
      <c r="U11" s="118"/>
      <c r="V11" s="118"/>
      <c r="W11" s="118"/>
      <c r="X11" s="118" t="s">
        <v>101</v>
      </c>
      <c r="Y11" s="119" t="s">
        <v>130</v>
      </c>
      <c r="Z11" s="118" t="s">
        <v>103</v>
      </c>
      <c r="AA11" s="118" t="s">
        <v>104</v>
      </c>
      <c r="AB11" s="116" t="s">
        <v>105</v>
      </c>
      <c r="AC11" s="116">
        <f>IF(INDIRECT("AD11")="No agregar cuotas","14.30% + $0.00",IF(INDIRECT("AD11")="Cuotas con interés bajo en uno o ambos canales","14.30% + $0.00",IF(INDIRECT("AD11")="Agregar cuotas","14.30% + $0.00","-")))</f>
      </c>
      <c r="AD11" s="116" t="s">
        <v>114</v>
      </c>
      <c r="AE11" s="116">
        <f>IF(INDIRECT("AD11")="No agregar cuotas","5.00%",IF(INDIRECT("AD11")="Cuotas con interés bajo en uno o ambos canales","5.00%",IF(INDIRECT("AD11")="Agregar cuotas","13.40%","-")))</f>
      </c>
    </row>
    <row r="12" ht="50.0" customHeight="true">
      <c r="A12" s="116" t="s">
        <v>131</v>
      </c>
      <c r="B12" s="116" t="s">
        <v>132</v>
      </c>
      <c r="C12" s="116" t="s">
        <v>133</v>
      </c>
      <c r="D12" s="116"/>
      <c r="E12" s="117"/>
      <c r="F12" s="116" t="s">
        <v>134</v>
      </c>
      <c r="G12" s="116" t="s">
        <v>111</v>
      </c>
      <c r="H12" s="118" t="n">
        <v>14.0</v>
      </c>
      <c r="I12" s="116" t="s">
        <v>97</v>
      </c>
      <c r="J12" s="118" t="n">
        <v>250000.0</v>
      </c>
      <c r="K12" s="118" t="s">
        <v>98</v>
      </c>
      <c r="L12" s="118" t="s">
        <v>99</v>
      </c>
      <c r="M12" s="118" t="s">
        <v>100</v>
      </c>
      <c r="N12" s="118" t="n">
        <v>210000.0</v>
      </c>
      <c r="O12" s="118" t="n">
        <v>3.0</v>
      </c>
      <c r="P12" s="118"/>
      <c r="Q12" s="118"/>
      <c r="R12" s="118"/>
      <c r="S12" s="118"/>
      <c r="T12" s="118"/>
      <c r="U12" s="118"/>
      <c r="V12" s="118"/>
      <c r="W12" s="118"/>
      <c r="X12" s="118" t="s">
        <v>101</v>
      </c>
      <c r="Y12" s="119" t="s">
        <v>135</v>
      </c>
      <c r="Z12" s="118" t="s">
        <v>103</v>
      </c>
      <c r="AA12" s="118" t="s">
        <v>104</v>
      </c>
      <c r="AB12" s="116" t="s">
        <v>113</v>
      </c>
      <c r="AC12" s="116">
        <f>IF(INDIRECT("AD12")="No agregar cuotas","14.30% + $0.00",IF(INDIRECT("AD12")="Cuotas con interés bajo en uno o ambos canales","14.30% + $0.00",IF(INDIRECT("AD12")="Agregar cuotas","14.30% + $0.00","-")))</f>
      </c>
      <c r="AD12" s="116" t="s">
        <v>114</v>
      </c>
      <c r="AE12" s="116">
        <f>IF(INDIRECT("AD12")="No agregar cuotas","5.00%",IF(INDIRECT("AD12")="Cuotas con interés bajo en uno o ambos canales","5.00%",IF(INDIRECT("AD12")="Agregar cuotas","13.40%","-")))</f>
      </c>
    </row>
    <row r="13" ht="50.0" customHeight="true">
      <c r="A13" s="116" t="s">
        <v>136</v>
      </c>
      <c r="B13" s="116" t="s">
        <v>137</v>
      </c>
      <c r="C13" s="116" t="s">
        <v>138</v>
      </c>
      <c r="D13" s="116"/>
      <c r="E13" s="117"/>
      <c r="F13" s="116" t="s">
        <v>139</v>
      </c>
      <c r="G13" s="116" t="s">
        <v>139</v>
      </c>
      <c r="H13" s="118" t="n">
        <v>60.0</v>
      </c>
      <c r="I13" s="116" t="s">
        <v>97</v>
      </c>
      <c r="J13" s="118" t="n">
        <v>25000.0</v>
      </c>
      <c r="K13" s="118" t="s">
        <v>98</v>
      </c>
      <c r="L13" s="118" t="s">
        <v>99</v>
      </c>
      <c r="M13" s="118" t="s">
        <v>100</v>
      </c>
      <c r="N13" s="118" t="n">
        <v>23000.0</v>
      </c>
      <c r="O13" s="118" t="n">
        <v>4.0</v>
      </c>
      <c r="P13" s="118"/>
      <c r="Q13" s="118"/>
      <c r="R13" s="118"/>
      <c r="S13" s="118"/>
      <c r="T13" s="118"/>
      <c r="U13" s="118"/>
      <c r="V13" s="118"/>
      <c r="W13" s="118"/>
      <c r="X13" s="118" t="s">
        <v>101</v>
      </c>
      <c r="Y13" s="119" t="s">
        <v>140</v>
      </c>
      <c r="Z13" s="118" t="s">
        <v>103</v>
      </c>
      <c r="AA13" s="118" t="s">
        <v>104</v>
      </c>
      <c r="AB13" s="116" t="s">
        <v>105</v>
      </c>
      <c r="AC13" s="116">
        <f>IF(INDIRECT("AD13")="No agregar cuotas","14.30% + $3320.00",IF(INDIRECT("AD13")="Cuotas con interés bajo en uno o ambos canales","14.30% + $3320.00",IF(INDIRECT("AD13")="Agregar cuotas","14.30% + $3320.00","-")))</f>
      </c>
      <c r="AD13" s="116" t="s">
        <v>114</v>
      </c>
      <c r="AE13" s="116">
        <f>IF(INDIRECT("AD13")="No agregar cuotas","5.00%",IF(INDIRECT("AD13")="Cuotas con interés bajo en uno o ambos canales","5.00%",IF(INDIRECT("AD13")="Agregar cuotas","13.40%","-")))</f>
      </c>
    </row>
    <row r="14" ht="50.0" customHeight="true">
      <c r="A14" s="116" t="s">
        <v>141</v>
      </c>
      <c r="B14" s="116" t="s">
        <v>142</v>
      </c>
      <c r="C14" s="116" t="s">
        <v>143</v>
      </c>
      <c r="D14" s="116"/>
      <c r="E14" s="117"/>
      <c r="F14" s="116" t="s">
        <v>144</v>
      </c>
      <c r="G14" s="116" t="s">
        <v>144</v>
      </c>
      <c r="H14" s="118" t="n">
        <v>65.0</v>
      </c>
      <c r="I14" s="116" t="s">
        <v>97</v>
      </c>
      <c r="J14" s="118" t="n">
        <v>42000.0</v>
      </c>
      <c r="K14" s="118" t="s">
        <v>98</v>
      </c>
      <c r="L14" s="118" t="s">
        <v>99</v>
      </c>
      <c r="M14" s="118" t="s">
        <v>100</v>
      </c>
      <c r="N14" s="118" t="n">
        <v>38000.0</v>
      </c>
      <c r="O14" s="118" t="n">
        <v>4.0</v>
      </c>
      <c r="P14" s="118"/>
      <c r="Q14" s="118"/>
      <c r="R14" s="118"/>
      <c r="S14" s="118"/>
      <c r="T14" s="118"/>
      <c r="U14" s="118"/>
      <c r="V14" s="118"/>
      <c r="W14" s="118"/>
      <c r="X14" s="116" t="s">
        <v>101</v>
      </c>
      <c r="Y14" s="119" t="s">
        <v>145</v>
      </c>
      <c r="Z14" s="118" t="s">
        <v>103</v>
      </c>
      <c r="AA14" s="118" t="s">
        <v>104</v>
      </c>
      <c r="AB14" s="116" t="s">
        <v>105</v>
      </c>
      <c r="AC14" s="116">
        <f>IF(INDIRECT("AD14")="No agregar cuotas","14.30% + $0.00",IF(INDIRECT("AD14")="Cuotas con interés bajo en uno o ambos canales","14.30% + $0.00",IF(INDIRECT("AD14")="Agregar cuotas","14.30% + $0.00","-")))</f>
      </c>
      <c r="AD14" s="116" t="s">
        <v>114</v>
      </c>
      <c r="AE14" s="116">
        <f>IF(INDIRECT("AD14")="No agregar cuotas","5.00%",IF(INDIRECT("AD14")="Cuotas con interés bajo en uno o ambos canales","5.00%",IF(INDIRECT("AD14")="Agregar cuotas","13.40%","-")))</f>
      </c>
    </row>
    <row r="15" ht="50.0" customHeight="true">
      <c r="A15" s="116" t="s">
        <v>146</v>
      </c>
      <c r="B15" s="116" t="s">
        <v>147</v>
      </c>
      <c r="C15" s="116" t="s">
        <v>148</v>
      </c>
      <c r="D15" s="116"/>
      <c r="E15" s="117"/>
      <c r="F15" s="116" t="s">
        <v>149</v>
      </c>
      <c r="G15" s="116" t="s">
        <v>111</v>
      </c>
      <c r="H15" s="118" t="n">
        <v>88.0</v>
      </c>
      <c r="I15" s="116" t="s">
        <v>97</v>
      </c>
      <c r="J15" s="118" t="n">
        <v>230000.0</v>
      </c>
      <c r="K15" s="118" t="s">
        <v>98</v>
      </c>
      <c r="L15" s="118" t="s">
        <v>99</v>
      </c>
      <c r="M15" s="118" t="s">
        <v>100</v>
      </c>
      <c r="N15" s="118" t="n">
        <v>190000.0</v>
      </c>
      <c r="O15" s="118" t="n">
        <v>3.0</v>
      </c>
      <c r="P15" s="118"/>
      <c r="Q15" s="118"/>
      <c r="R15" s="118"/>
      <c r="S15" s="118"/>
      <c r="T15" s="118"/>
      <c r="U15" s="118"/>
      <c r="V15" s="118"/>
      <c r="W15" s="118"/>
      <c r="X15" s="118" t="s">
        <v>101</v>
      </c>
      <c r="Y15" s="119" t="s">
        <v>150</v>
      </c>
      <c r="Z15" s="118" t="s">
        <v>103</v>
      </c>
      <c r="AA15" s="118" t="s">
        <v>104</v>
      </c>
      <c r="AB15" s="116" t="s">
        <v>113</v>
      </c>
      <c r="AC15" s="116">
        <f>IF(INDIRECT("AD15")="No agregar cuotas","14.30% + $0.00",IF(INDIRECT("AD15")="Cuotas con interés bajo en uno o ambos canales","14.30% + $0.00",IF(INDIRECT("AD15")="Agregar cuotas","14.30% + $0.00","-")))</f>
      </c>
      <c r="AD15" s="116" t="s">
        <v>114</v>
      </c>
      <c r="AE15" s="116">
        <f>IF(INDIRECT("AD15")="No agregar cuotas","5.00%",IF(INDIRECT("AD15")="Cuotas con interés bajo en uno o ambos canales","5.00%",IF(INDIRECT("AD15")="Agregar cuotas","13.40%","-")))</f>
      </c>
    </row>
    <row r="16" ht="50.0" customHeight="true">
      <c r="A16" s="116" t="s">
        <v>151</v>
      </c>
      <c r="B16" s="116" t="s">
        <v>152</v>
      </c>
      <c r="C16" s="116" t="s">
        <v>153</v>
      </c>
      <c r="D16" s="116"/>
      <c r="E16" s="117"/>
      <c r="F16" s="116" t="s">
        <v>154</v>
      </c>
      <c r="G16" s="116" t="s">
        <v>154</v>
      </c>
      <c r="H16" s="118" t="n">
        <v>80.0</v>
      </c>
      <c r="I16" s="116" t="s">
        <v>97</v>
      </c>
      <c r="J16" s="118" t="n">
        <v>45000.0</v>
      </c>
      <c r="K16" s="118" t="s">
        <v>98</v>
      </c>
      <c r="L16" s="118" t="s">
        <v>99</v>
      </c>
      <c r="M16" s="118" t="s">
        <v>100</v>
      </c>
      <c r="N16" s="118" t="n">
        <v>40000.0</v>
      </c>
      <c r="O16" s="118" t="n">
        <v>3.0</v>
      </c>
      <c r="P16" s="118"/>
      <c r="Q16" s="118"/>
      <c r="R16" s="118"/>
      <c r="S16" s="118"/>
      <c r="T16" s="118"/>
      <c r="U16" s="118"/>
      <c r="V16" s="118"/>
      <c r="W16" s="118"/>
      <c r="X16" s="118" t="s">
        <v>101</v>
      </c>
      <c r="Y16" s="119" t="s">
        <v>155</v>
      </c>
      <c r="Z16" s="118" t="s">
        <v>103</v>
      </c>
      <c r="AA16" s="118" t="s">
        <v>104</v>
      </c>
      <c r="AB16" s="116" t="s">
        <v>105</v>
      </c>
      <c r="AC16" s="116">
        <f>IF(INDIRECT("AD16")="No agregar cuotas","14.30% + $0.00",IF(INDIRECT("AD16")="Cuotas con interés bajo en uno o ambos canales","14.30% + $0.00",IF(INDIRECT("AD16")="Agregar cuotas","14.30% + $0.00","-")))</f>
      </c>
      <c r="AD16" s="116" t="s">
        <v>114</v>
      </c>
      <c r="AE16" s="116">
        <f>IF(INDIRECT("AD16")="No agregar cuotas","5.00%",IF(INDIRECT("AD16")="Cuotas con interés bajo en uno o ambos canales","5.00%",IF(INDIRECT("AD16")="Agregar cuotas","13.40%","-")))</f>
      </c>
    </row>
    <row r="17" ht="50.0" customHeight="true">
      <c r="A17" s="116" t="s">
        <v>156</v>
      </c>
      <c r="B17" s="116" t="s">
        <v>157</v>
      </c>
      <c r="C17" s="116" t="s">
        <v>158</v>
      </c>
      <c r="D17" s="116"/>
      <c r="E17" s="117"/>
      <c r="F17" s="116" t="s">
        <v>159</v>
      </c>
      <c r="G17" s="116" t="s">
        <v>159</v>
      </c>
      <c r="H17" s="118" t="n">
        <v>75.0</v>
      </c>
      <c r="I17" s="116" t="s">
        <v>97</v>
      </c>
      <c r="J17" s="118" t="n">
        <v>90000.0</v>
      </c>
      <c r="K17" s="118" t="s">
        <v>98</v>
      </c>
      <c r="L17" s="118" t="s">
        <v>99</v>
      </c>
      <c r="M17" s="118" t="s">
        <v>100</v>
      </c>
      <c r="N17" s="118" t="n">
        <v>83000.0</v>
      </c>
      <c r="O17" s="118" t="n">
        <v>2.0</v>
      </c>
      <c r="P17" s="118"/>
      <c r="Q17" s="118"/>
      <c r="R17" s="118"/>
      <c r="S17" s="118"/>
      <c r="T17" s="118"/>
      <c r="U17" s="118"/>
      <c r="V17" s="118"/>
      <c r="W17" s="118"/>
      <c r="X17" s="118" t="s">
        <v>101</v>
      </c>
      <c r="Y17" s="119" t="s">
        <v>160</v>
      </c>
      <c r="Z17" s="118" t="s">
        <v>103</v>
      </c>
      <c r="AA17" s="118" t="s">
        <v>104</v>
      </c>
      <c r="AB17" s="116" t="s">
        <v>105</v>
      </c>
      <c r="AC17" s="116">
        <f>IF(INDIRECT("AD17")="No agregar cuotas","14.30% + $0.00",IF(INDIRECT("AD17")="Cuotas con interés bajo en uno o ambos canales","14.30% + $0.00",IF(INDIRECT("AD17")="Agregar cuotas","14.30% + $0.00","-")))</f>
      </c>
      <c r="AD17" s="116" t="s">
        <v>114</v>
      </c>
      <c r="AE17" s="116">
        <f>IF(INDIRECT("AD17")="No agregar cuotas","5.00%",IF(INDIRECT("AD17")="Cuotas con interés bajo en uno o ambos canales","5.00%",IF(INDIRECT("AD17")="Agregar cuotas","13.40%","-")))</f>
      </c>
    </row>
    <row r="18" ht="50.0" customHeight="true">
      <c r="A18" s="116" t="s">
        <v>161</v>
      </c>
      <c r="B18" s="116" t="s">
        <v>162</v>
      </c>
      <c r="C18" s="116" t="s">
        <v>163</v>
      </c>
      <c r="D18" s="116"/>
      <c r="E18" s="117"/>
      <c r="F18" s="116" t="s">
        <v>164</v>
      </c>
      <c r="G18" s="116" t="s">
        <v>111</v>
      </c>
      <c r="H18" s="118" t="n">
        <v>97.0</v>
      </c>
      <c r="I18" s="116" t="s">
        <v>97</v>
      </c>
      <c r="J18" s="118" t="n">
        <v>120000.0</v>
      </c>
      <c r="K18" s="118" t="s">
        <v>98</v>
      </c>
      <c r="L18" s="118" t="s">
        <v>99</v>
      </c>
      <c r="M18" s="118" t="s">
        <v>100</v>
      </c>
      <c r="N18" s="118" t="n">
        <v>109000.0</v>
      </c>
      <c r="O18" s="118" t="n">
        <v>2.0</v>
      </c>
      <c r="P18" s="118"/>
      <c r="Q18" s="118"/>
      <c r="R18" s="118"/>
      <c r="S18" s="118"/>
      <c r="T18" s="118"/>
      <c r="U18" s="118"/>
      <c r="V18" s="118"/>
      <c r="W18" s="118"/>
      <c r="X18" s="118" t="s">
        <v>101</v>
      </c>
      <c r="Y18" s="119" t="s">
        <v>165</v>
      </c>
      <c r="Z18" s="118" t="s">
        <v>103</v>
      </c>
      <c r="AA18" s="118" t="s">
        <v>104</v>
      </c>
      <c r="AB18" s="116" t="s">
        <v>113</v>
      </c>
      <c r="AC18" s="116">
        <f>IF(INDIRECT("AD18")="No agregar cuotas","14.30% + $0.00",IF(INDIRECT("AD18")="Cuotas con interés bajo en uno o ambos canales","14.30% + $0.00",IF(INDIRECT("AD18")="Agregar cuotas","14.30% + $0.00","-")))</f>
      </c>
      <c r="AD18" s="116" t="s">
        <v>114</v>
      </c>
      <c r="AE18" s="116">
        <f>IF(INDIRECT("AD18")="No agregar cuotas","5.00%",IF(INDIRECT("AD18")="Cuotas con interés bajo en uno o ambos canales","5.00%",IF(INDIRECT("AD18")="Agregar cuotas","13.40%","-")))</f>
      </c>
    </row>
    <row r="19" ht="50.0" customHeight="true">
      <c r="A19" s="116" t="s">
        <v>166</v>
      </c>
      <c r="B19" s="116" t="s">
        <v>167</v>
      </c>
      <c r="C19" s="116" t="s">
        <v>168</v>
      </c>
      <c r="D19" s="116"/>
      <c r="E19" s="117"/>
      <c r="F19" s="116" t="s">
        <v>169</v>
      </c>
      <c r="G19" s="116" t="s">
        <v>169</v>
      </c>
      <c r="H19" s="118" t="n">
        <v>79.0</v>
      </c>
      <c r="I19" s="116" t="s">
        <v>97</v>
      </c>
      <c r="J19" s="118" t="n">
        <v>50000.0</v>
      </c>
      <c r="K19" s="118" t="s">
        <v>98</v>
      </c>
      <c r="L19" s="118" t="s">
        <v>99</v>
      </c>
      <c r="M19" s="118" t="s">
        <v>100</v>
      </c>
      <c r="N19" s="118" t="n">
        <v>43000.0</v>
      </c>
      <c r="O19" s="118" t="n">
        <v>2.0</v>
      </c>
      <c r="P19" s="118"/>
      <c r="Q19" s="118"/>
      <c r="R19" s="118"/>
      <c r="S19" s="118"/>
      <c r="T19" s="118"/>
      <c r="U19" s="118"/>
      <c r="V19" s="118"/>
      <c r="W19" s="118"/>
      <c r="X19" s="118" t="s">
        <v>101</v>
      </c>
      <c r="Y19" s="119" t="s">
        <v>170</v>
      </c>
      <c r="Z19" s="118" t="s">
        <v>103</v>
      </c>
      <c r="AA19" s="118" t="s">
        <v>104</v>
      </c>
      <c r="AB19" s="116" t="s">
        <v>105</v>
      </c>
      <c r="AC19" s="116">
        <f>IF(INDIRECT("AD19")="No agregar cuotas","14.30% + $0.00",IF(INDIRECT("AD19")="Cuotas con interés bajo en uno o ambos canales","14.30% + $0.00",IF(INDIRECT("AD19")="Agregar cuotas","14.30% + $0.00","-")))</f>
      </c>
      <c r="AD19" s="116" t="s">
        <v>114</v>
      </c>
      <c r="AE19" s="116">
        <f>IF(INDIRECT("AD19")="No agregar cuotas","5.00%",IF(INDIRECT("AD19")="Cuotas con interés bajo en uno o ambos canales","5.00%",IF(INDIRECT("AD19")="Agregar cuotas","13.40%","-")))</f>
      </c>
    </row>
    <row r="20" ht="50.0" customHeight="true">
      <c r="A20" s="116" t="s">
        <v>171</v>
      </c>
      <c r="B20" s="116" t="s">
        <v>172</v>
      </c>
      <c r="C20" s="116" t="s">
        <v>173</v>
      </c>
      <c r="D20" s="116"/>
      <c r="E20" s="117"/>
      <c r="F20" s="116" t="s">
        <v>174</v>
      </c>
      <c r="G20" s="116" t="s">
        <v>174</v>
      </c>
      <c r="H20" s="118" t="n">
        <v>81.0</v>
      </c>
      <c r="I20" s="116" t="s">
        <v>97</v>
      </c>
      <c r="J20" s="118" t="n">
        <v>48000.0</v>
      </c>
      <c r="K20" s="118" t="s">
        <v>98</v>
      </c>
      <c r="L20" s="118" t="s">
        <v>99</v>
      </c>
      <c r="M20" s="118" t="s">
        <v>100</v>
      </c>
      <c r="N20" s="118" t="n">
        <v>44000.0</v>
      </c>
      <c r="O20" s="118" t="n">
        <v>2.0</v>
      </c>
      <c r="P20" s="118"/>
      <c r="Q20" s="118"/>
      <c r="R20" s="118"/>
      <c r="S20" s="118"/>
      <c r="T20" s="118"/>
      <c r="U20" s="118"/>
      <c r="V20" s="118"/>
      <c r="W20" s="118"/>
      <c r="X20" s="118" t="s">
        <v>101</v>
      </c>
      <c r="Y20" s="119" t="s">
        <v>175</v>
      </c>
      <c r="Z20" s="118" t="s">
        <v>103</v>
      </c>
      <c r="AA20" s="118" t="s">
        <v>104</v>
      </c>
      <c r="AB20" s="116" t="s">
        <v>105</v>
      </c>
      <c r="AC20" s="116">
        <f>IF(INDIRECT("AD20")="No agregar cuotas","14.30% + $0.00",IF(INDIRECT("AD20")="Cuotas con interés bajo en uno o ambos canales","14.30% + $0.00",IF(INDIRECT("AD20")="Agregar cuotas","14.30% + $0.00","-")))</f>
      </c>
      <c r="AD20" s="116" t="s">
        <v>114</v>
      </c>
      <c r="AE20" s="116">
        <f>IF(INDIRECT("AD20")="No agregar cuotas","5.00%",IF(INDIRECT("AD20")="Cuotas con interés bajo en uno o ambos canales","5.00%",IF(INDIRECT("AD20")="Agregar cuotas","13.40%","-")))</f>
      </c>
    </row>
    <row r="21" ht="50.0" customHeight="true">
      <c r="A21" s="116" t="s">
        <v>176</v>
      </c>
      <c r="B21" s="116" t="s">
        <v>177</v>
      </c>
      <c r="C21" s="116" t="s">
        <v>178</v>
      </c>
      <c r="D21" s="116"/>
      <c r="E21" s="117"/>
      <c r="F21" s="116" t="s">
        <v>179</v>
      </c>
      <c r="G21" s="116" t="s">
        <v>111</v>
      </c>
      <c r="H21" s="118" t="n">
        <v>90.0</v>
      </c>
      <c r="I21" s="116" t="s">
        <v>97</v>
      </c>
      <c r="J21" s="118" t="n">
        <v>250000.0</v>
      </c>
      <c r="K21" s="118" t="s">
        <v>98</v>
      </c>
      <c r="L21" s="118" t="s">
        <v>99</v>
      </c>
      <c r="M21" s="118" t="s">
        <v>100</v>
      </c>
      <c r="N21" s="118" t="n">
        <v>210000.0</v>
      </c>
      <c r="O21" s="118" t="n">
        <v>3.0</v>
      </c>
      <c r="P21" s="118"/>
      <c r="Q21" s="118"/>
      <c r="R21" s="118"/>
      <c r="S21" s="118"/>
      <c r="T21" s="118"/>
      <c r="U21" s="118"/>
      <c r="V21" s="118"/>
      <c r="W21" s="118"/>
      <c r="X21" s="118" t="s">
        <v>101</v>
      </c>
      <c r="Y21" s="119" t="s">
        <v>180</v>
      </c>
      <c r="Z21" s="118" t="s">
        <v>103</v>
      </c>
      <c r="AA21" s="118" t="s">
        <v>104</v>
      </c>
      <c r="AB21" s="116" t="s">
        <v>113</v>
      </c>
      <c r="AC21" s="116">
        <f>IF(INDIRECT("AD21")="No agregar cuotas","14.30% + $0.00",IF(INDIRECT("AD21")="Cuotas con interés bajo en uno o ambos canales","14.30% + $0.00",IF(INDIRECT("AD21")="Agregar cuotas","14.30% + $0.00","-")))</f>
      </c>
      <c r="AD21" s="116" t="s">
        <v>114</v>
      </c>
      <c r="AE21" s="116">
        <f>IF(INDIRECT("AD21")="No agregar cuotas","5.00%",IF(INDIRECT("AD21")="Cuotas con interés bajo en uno o ambos canales","5.00%",IF(INDIRECT("AD21")="Agregar cuotas","13.40%","-")))</f>
      </c>
    </row>
    <row r="22" ht="50.0" customHeight="true">
      <c r="A22" s="116" t="s">
        <v>181</v>
      </c>
      <c r="B22" s="116" t="s">
        <v>182</v>
      </c>
      <c r="C22" s="116" t="s">
        <v>183</v>
      </c>
      <c r="D22" s="116"/>
      <c r="E22" s="117"/>
      <c r="F22" s="116" t="s">
        <v>184</v>
      </c>
      <c r="G22" s="116" t="s">
        <v>184</v>
      </c>
      <c r="H22" s="118" t="n">
        <v>86.0</v>
      </c>
      <c r="I22" s="116" t="s">
        <v>97</v>
      </c>
      <c r="J22" s="118" t="n">
        <v>280000.0</v>
      </c>
      <c r="K22" s="118" t="s">
        <v>98</v>
      </c>
      <c r="L22" s="118" t="s">
        <v>99</v>
      </c>
      <c r="M22" s="118" t="s">
        <v>100</v>
      </c>
      <c r="N22" s="118" t="n">
        <v>250000.0</v>
      </c>
      <c r="O22" s="118" t="n">
        <v>2.0</v>
      </c>
      <c r="P22" s="118"/>
      <c r="Q22" s="118"/>
      <c r="R22" s="118"/>
      <c r="S22" s="118"/>
      <c r="T22" s="118"/>
      <c r="U22" s="118"/>
      <c r="V22" s="118"/>
      <c r="W22" s="118"/>
      <c r="X22" s="118" t="s">
        <v>101</v>
      </c>
      <c r="Y22" s="119" t="s">
        <v>185</v>
      </c>
      <c r="Z22" s="118" t="s">
        <v>103</v>
      </c>
      <c r="AA22" s="118" t="s">
        <v>104</v>
      </c>
      <c r="AB22" s="116" t="s">
        <v>105</v>
      </c>
      <c r="AC22" s="116">
        <f>IF(INDIRECT("AD22")="No agregar cuotas","14.30% + $0.00",IF(INDIRECT("AD22")="Cuotas con interés bajo en uno o ambos canales","14.30% + $0.00",IF(INDIRECT("AD22")="Agregar cuotas","14.30% + $0.00","-")))</f>
      </c>
      <c r="AD22" s="116" t="s">
        <v>114</v>
      </c>
      <c r="AE22" s="116">
        <f>IF(INDIRECT("AD22")="No agregar cuotas","5.00%",IF(INDIRECT("AD22")="Cuotas con interés bajo en uno o ambos canales","5.00%",IF(INDIRECT("AD22")="Agregar cuotas","13.40%","-")))</f>
      </c>
    </row>
    <row r="23" ht="50.0" customHeight="true">
      <c r="A23" s="116" t="s">
        <v>186</v>
      </c>
      <c r="B23" s="116" t="s">
        <v>187</v>
      </c>
      <c r="C23" s="116" t="s">
        <v>188</v>
      </c>
      <c r="D23" s="116"/>
      <c r="E23" s="117"/>
      <c r="F23" s="116" t="s">
        <v>189</v>
      </c>
      <c r="G23" s="116" t="s">
        <v>111</v>
      </c>
      <c r="H23" s="118" t="n">
        <v>92.0</v>
      </c>
      <c r="I23" s="116" t="s">
        <v>97</v>
      </c>
      <c r="J23" s="118" t="n">
        <v>267306.48</v>
      </c>
      <c r="K23" s="118" t="s">
        <v>98</v>
      </c>
      <c r="L23" s="118" t="s">
        <v>99</v>
      </c>
      <c r="M23" s="118" t="s">
        <v>100</v>
      </c>
      <c r="N23" s="118" t="n">
        <v>230000.0</v>
      </c>
      <c r="O23" s="118" t="n">
        <v>3.0</v>
      </c>
      <c r="P23" s="118"/>
      <c r="Q23" s="118"/>
      <c r="R23" s="118"/>
      <c r="S23" s="118"/>
      <c r="T23" s="118"/>
      <c r="U23" s="118"/>
      <c r="V23" s="118"/>
      <c r="W23" s="118"/>
      <c r="X23" s="118" t="s">
        <v>101</v>
      </c>
      <c r="Y23" s="119" t="s">
        <v>190</v>
      </c>
      <c r="Z23" s="118" t="s">
        <v>103</v>
      </c>
      <c r="AA23" s="118" t="s">
        <v>104</v>
      </c>
      <c r="AB23" s="116" t="s">
        <v>113</v>
      </c>
      <c r="AC23" s="116">
        <f>IF(INDIRECT("AD23")="No agregar cuotas","14.30% + $0.00",IF(INDIRECT("AD23")="Cuotas con interés bajo en uno o ambos canales","14.30% + $0.00",IF(INDIRECT("AD23")="Agregar cuotas","14.30% + $0.00","-")))</f>
      </c>
      <c r="AD23" s="118" t="s">
        <v>125</v>
      </c>
      <c r="AE23" s="116">
        <f>IF(INDIRECT("AD23")="No agregar cuotas","0.00%",IF(INDIRECT("AD23")="Cuotas con interés bajo en uno o ambos canales","0.00%",IF(INDIRECT("AD23")="Agregar cuotas","13.40%","-")))</f>
      </c>
    </row>
    <row r="24" ht="50.0" customHeight="true">
      <c r="A24" s="116" t="s">
        <v>191</v>
      </c>
      <c r="B24" s="116" t="s">
        <v>192</v>
      </c>
      <c r="C24" s="116" t="s">
        <v>193</v>
      </c>
      <c r="D24" s="116"/>
      <c r="E24" s="117"/>
      <c r="F24" s="116" t="s">
        <v>194</v>
      </c>
      <c r="G24" s="116" t="s">
        <v>111</v>
      </c>
      <c r="H24" s="118" t="n">
        <v>14.0</v>
      </c>
      <c r="I24" s="116" t="s">
        <v>97</v>
      </c>
      <c r="J24" s="118" t="n">
        <v>220000.0</v>
      </c>
      <c r="K24" s="118" t="s">
        <v>98</v>
      </c>
      <c r="L24" s="118" t="s">
        <v>99</v>
      </c>
      <c r="M24" s="118" t="s">
        <v>100</v>
      </c>
      <c r="N24" s="118" t="n">
        <v>190000.0</v>
      </c>
      <c r="O24" s="118" t="n">
        <v>3.0</v>
      </c>
      <c r="P24" s="118"/>
      <c r="Q24" s="118"/>
      <c r="R24" s="118"/>
      <c r="S24" s="118"/>
      <c r="T24" s="118"/>
      <c r="U24" s="118"/>
      <c r="V24" s="118"/>
      <c r="W24" s="118"/>
      <c r="X24" s="118" t="s">
        <v>101</v>
      </c>
      <c r="Y24" s="119" t="s">
        <v>195</v>
      </c>
      <c r="Z24" s="118" t="s">
        <v>103</v>
      </c>
      <c r="AA24" s="118" t="s">
        <v>104</v>
      </c>
      <c r="AB24" s="116" t="s">
        <v>113</v>
      </c>
      <c r="AC24" s="116">
        <f>IF(INDIRECT("AD24")="No agregar cuotas","14.30% + $0.00",IF(INDIRECT("AD24")="Cuotas con interés bajo en uno o ambos canales","14.30% + $0.00",IF(INDIRECT("AD24")="Agregar cuotas","14.30% + $0.00","-")))</f>
      </c>
      <c r="AD24" s="116" t="s">
        <v>114</v>
      </c>
      <c r="AE24" s="116">
        <f>IF(INDIRECT("AD24")="No agregar cuotas","5.00%",IF(INDIRECT("AD24")="Cuotas con interés bajo en uno o ambos canales","5.00%",IF(INDIRECT("AD24")="Agregar cuotas","13.40%","-")))</f>
      </c>
    </row>
    <row r="25" ht="50.0" customHeight="true">
      <c r="A25" s="116" t="s">
        <v>196</v>
      </c>
      <c r="B25" s="116" t="s">
        <v>197</v>
      </c>
      <c r="C25" s="116" t="s">
        <v>198</v>
      </c>
      <c r="D25" s="116"/>
      <c r="E25" s="117"/>
      <c r="F25" s="116" t="s">
        <v>199</v>
      </c>
      <c r="G25" s="116" t="s">
        <v>199</v>
      </c>
      <c r="H25" s="118" t="n">
        <v>88.0</v>
      </c>
      <c r="I25" s="116" t="s">
        <v>97</v>
      </c>
      <c r="J25" s="118" t="n">
        <v>150000.0</v>
      </c>
      <c r="K25" s="118" t="s">
        <v>98</v>
      </c>
      <c r="L25" s="118" t="s">
        <v>99</v>
      </c>
      <c r="M25" s="118" t="s">
        <v>100</v>
      </c>
      <c r="N25" s="118" t="n">
        <v>130000.0</v>
      </c>
      <c r="O25" s="118" t="n">
        <v>2.0</v>
      </c>
      <c r="P25" s="118"/>
      <c r="Q25" s="118"/>
      <c r="R25" s="118"/>
      <c r="S25" s="118"/>
      <c r="T25" s="118"/>
      <c r="U25" s="118"/>
      <c r="V25" s="118"/>
      <c r="W25" s="118"/>
      <c r="X25" s="118" t="s">
        <v>101</v>
      </c>
      <c r="Y25" s="119" t="s">
        <v>200</v>
      </c>
      <c r="Z25" s="118" t="s">
        <v>103</v>
      </c>
      <c r="AA25" s="118" t="s">
        <v>104</v>
      </c>
      <c r="AB25" s="116" t="s">
        <v>105</v>
      </c>
      <c r="AC25" s="116">
        <f>IF(INDIRECT("AD25")="No agregar cuotas","14.30% + $0.00",IF(INDIRECT("AD25")="Cuotas con interés bajo en uno o ambos canales","14.30% + $0.00",IF(INDIRECT("AD25")="Agregar cuotas","14.30% + $0.00","-")))</f>
      </c>
      <c r="AD25" s="116" t="s">
        <v>114</v>
      </c>
      <c r="AE25" s="116">
        <f>IF(INDIRECT("AD25")="No agregar cuotas","5.00%",IF(INDIRECT("AD25")="Cuotas con interés bajo en uno o ambos canales","5.00%",IF(INDIRECT("AD25")="Agregar cuotas","13.40%","-")))</f>
      </c>
    </row>
    <row r="26" ht="50.0" customHeight="true">
      <c r="A26" s="116" t="s">
        <v>201</v>
      </c>
      <c r="B26" s="116" t="s">
        <v>202</v>
      </c>
      <c r="C26" s="116" t="s">
        <v>203</v>
      </c>
      <c r="D26" s="116"/>
      <c r="E26" s="117"/>
      <c r="F26" s="116" t="s">
        <v>204</v>
      </c>
      <c r="G26" s="116" t="s">
        <v>111</v>
      </c>
      <c r="H26" s="118" t="n">
        <v>94.0</v>
      </c>
      <c r="I26" s="116" t="s">
        <v>97</v>
      </c>
      <c r="J26" s="118" t="n">
        <v>350000.0</v>
      </c>
      <c r="K26" s="118" t="s">
        <v>98</v>
      </c>
      <c r="L26" s="118" t="s">
        <v>99</v>
      </c>
      <c r="M26" s="118" t="s">
        <v>100</v>
      </c>
      <c r="N26" s="118" t="n">
        <v>310000.0</v>
      </c>
      <c r="O26" s="118" t="n">
        <v>3.0</v>
      </c>
      <c r="P26" s="118"/>
      <c r="Q26" s="118"/>
      <c r="R26" s="118"/>
      <c r="S26" s="118"/>
      <c r="T26" s="118"/>
      <c r="U26" s="118"/>
      <c r="V26" s="118"/>
      <c r="W26" s="118"/>
      <c r="X26" s="118" t="s">
        <v>101</v>
      </c>
      <c r="Y26" s="119" t="s">
        <v>205</v>
      </c>
      <c r="Z26" s="118" t="s">
        <v>103</v>
      </c>
      <c r="AA26" s="118" t="s">
        <v>104</v>
      </c>
      <c r="AB26" s="116" t="s">
        <v>113</v>
      </c>
      <c r="AC26" s="116">
        <f>IF(INDIRECT("AD26")="No agregar cuotas","14.30% + $0.00",IF(INDIRECT("AD26")="Cuotas con interés bajo en uno o ambos canales","14.30% + $0.00",IF(INDIRECT("AD26")="Agregar cuotas","14.30% + $0.00","-")))</f>
      </c>
      <c r="AD26" s="116" t="s">
        <v>114</v>
      </c>
      <c r="AE26" s="116">
        <f>IF(INDIRECT("AD26")="No agregar cuotas","5.00%",IF(INDIRECT("AD26")="Cuotas con interés bajo en uno o ambos canales","5.00%",IF(INDIRECT("AD26")="Agregar cuotas","13.40%","-")))</f>
      </c>
    </row>
    <row r="27" ht="50.0" customHeight="true">
      <c r="A27" s="116" t="s">
        <v>206</v>
      </c>
      <c r="B27" s="116" t="s">
        <v>207</v>
      </c>
      <c r="C27" s="116" t="s">
        <v>208</v>
      </c>
      <c r="D27" s="116"/>
      <c r="E27" s="117"/>
      <c r="F27" s="116" t="s">
        <v>209</v>
      </c>
      <c r="G27" s="116" t="s">
        <v>111</v>
      </c>
      <c r="H27" s="118" t="n">
        <v>9.0</v>
      </c>
      <c r="I27" s="116" t="s">
        <v>97</v>
      </c>
      <c r="J27" s="118" t="n">
        <v>140000.0</v>
      </c>
      <c r="K27" s="118" t="s">
        <v>98</v>
      </c>
      <c r="L27" s="118" t="s">
        <v>99</v>
      </c>
      <c r="M27" s="118" t="s">
        <v>100</v>
      </c>
      <c r="N27" s="118" t="n">
        <v>120000.0</v>
      </c>
      <c r="O27" s="118" t="n">
        <v>3.0</v>
      </c>
      <c r="P27" s="118"/>
      <c r="Q27" s="118"/>
      <c r="R27" s="118"/>
      <c r="S27" s="118"/>
      <c r="T27" s="118"/>
      <c r="U27" s="118"/>
      <c r="V27" s="118"/>
      <c r="W27" s="118"/>
      <c r="X27" s="118" t="s">
        <v>101</v>
      </c>
      <c r="Y27" s="119" t="s">
        <v>210</v>
      </c>
      <c r="Z27" s="118" t="s">
        <v>103</v>
      </c>
      <c r="AA27" s="118" t="s">
        <v>104</v>
      </c>
      <c r="AB27" s="116" t="s">
        <v>113</v>
      </c>
      <c r="AC27" s="116">
        <f>IF(INDIRECT("AD27")="No agregar cuotas","14.30% + $0.00",IF(INDIRECT("AD27")="Cuotas con interés bajo en uno o ambos canales","14.30% + $0.00",IF(INDIRECT("AD27")="Agregar cuotas","14.30% + $0.00","-")))</f>
      </c>
      <c r="AD27" s="116" t="s">
        <v>114</v>
      </c>
      <c r="AE27" s="116">
        <f>IF(INDIRECT("AD27")="No agregar cuotas","5.00%",IF(INDIRECT("AD27")="Cuotas con interés bajo en uno o ambos canales","5.00%",IF(INDIRECT("AD27")="Agregar cuotas","13.40%","-")))</f>
      </c>
    </row>
    <row r="28" ht="50.0" customHeight="true">
      <c r="A28" s="116" t="s">
        <v>211</v>
      </c>
      <c r="B28" s="116" t="s">
        <v>212</v>
      </c>
      <c r="C28" s="116" t="s">
        <v>213</v>
      </c>
      <c r="D28" s="116"/>
      <c r="E28" s="117"/>
      <c r="F28" s="116" t="s">
        <v>214</v>
      </c>
      <c r="G28" s="116" t="s">
        <v>111</v>
      </c>
      <c r="H28" s="118" t="n">
        <v>63.0</v>
      </c>
      <c r="I28" s="116" t="s">
        <v>97</v>
      </c>
      <c r="J28" s="118" t="n">
        <v>247506.0</v>
      </c>
      <c r="K28" s="118" t="s">
        <v>98</v>
      </c>
      <c r="L28" s="118" t="s">
        <v>99</v>
      </c>
      <c r="M28" s="118" t="s">
        <v>100</v>
      </c>
      <c r="N28" s="118" t="n">
        <v>220000.0</v>
      </c>
      <c r="O28" s="118" t="n">
        <v>2.0</v>
      </c>
      <c r="P28" s="118"/>
      <c r="Q28" s="118"/>
      <c r="R28" s="118"/>
      <c r="S28" s="118"/>
      <c r="T28" s="118"/>
      <c r="U28" s="118"/>
      <c r="V28" s="118"/>
      <c r="W28" s="118"/>
      <c r="X28" s="118" t="s">
        <v>101</v>
      </c>
      <c r="Y28" s="119" t="s">
        <v>215</v>
      </c>
      <c r="Z28" s="118" t="s">
        <v>103</v>
      </c>
      <c r="AA28" s="118" t="s">
        <v>104</v>
      </c>
      <c r="AB28" s="116" t="s">
        <v>113</v>
      </c>
      <c r="AC28" s="116">
        <f>IF(INDIRECT("AD28")="No agregar cuotas","14.30% + $0.00",IF(INDIRECT("AD28")="Cuotas con interés bajo en uno o ambos canales","14.30% + $0.00",IF(INDIRECT("AD28")="Agregar cuotas","14.30% + $0.00","-")))</f>
      </c>
      <c r="AD28" s="118" t="s">
        <v>125</v>
      </c>
      <c r="AE28" s="116">
        <f>IF(INDIRECT("AD28")="No agregar cuotas","0.00%",IF(INDIRECT("AD28")="Cuotas con interés bajo en uno o ambos canales","0.00%",IF(INDIRECT("AD28")="Agregar cuotas","13.40%","-")))</f>
      </c>
    </row>
    <row r="29" ht="50.0" customHeight="true">
      <c r="A29" s="116" t="s">
        <v>216</v>
      </c>
      <c r="B29" s="116" t="s">
        <v>217</v>
      </c>
      <c r="C29" s="116" t="s">
        <v>218</v>
      </c>
      <c r="D29" s="116"/>
      <c r="E29" s="117"/>
      <c r="F29" s="116" t="s">
        <v>219</v>
      </c>
      <c r="G29" s="116" t="s">
        <v>219</v>
      </c>
      <c r="H29" s="118" t="n">
        <v>98.0</v>
      </c>
      <c r="I29" s="116" t="s">
        <v>97</v>
      </c>
      <c r="J29" s="118" t="n">
        <v>320000.0</v>
      </c>
      <c r="K29" s="118" t="s">
        <v>98</v>
      </c>
      <c r="L29" s="118" t="s">
        <v>99</v>
      </c>
      <c r="M29" s="118" t="s">
        <v>100</v>
      </c>
      <c r="N29" s="118" t="n">
        <v>290000.0</v>
      </c>
      <c r="O29" s="118" t="n">
        <v>3.0</v>
      </c>
      <c r="P29" s="118"/>
      <c r="Q29" s="118"/>
      <c r="R29" s="118"/>
      <c r="S29" s="118"/>
      <c r="T29" s="118"/>
      <c r="U29" s="118"/>
      <c r="V29" s="118"/>
      <c r="W29" s="118"/>
      <c r="X29" s="118" t="s">
        <v>101</v>
      </c>
      <c r="Y29" s="119" t="s">
        <v>220</v>
      </c>
      <c r="Z29" s="118" t="s">
        <v>103</v>
      </c>
      <c r="AA29" s="118" t="s">
        <v>104</v>
      </c>
      <c r="AB29" s="116" t="s">
        <v>105</v>
      </c>
      <c r="AC29" s="116">
        <f>IF(INDIRECT("AD29")="No agregar cuotas","14.30% + $0.00",IF(INDIRECT("AD29")="Cuotas con interés bajo en uno o ambos canales","14.30% + $0.00",IF(INDIRECT("AD29")="Agregar cuotas","14.30% + $0.00","-")))</f>
      </c>
      <c r="AD29" s="116" t="s">
        <v>114</v>
      </c>
      <c r="AE29" s="116">
        <f>IF(INDIRECT("AD29")="No agregar cuotas","5.00%",IF(INDIRECT("AD29")="Cuotas con interés bajo en uno o ambos canales","5.00%",IF(INDIRECT("AD29")="Agregar cuotas","13.40%","-")))</f>
      </c>
    </row>
    <row r="30" ht="50.0" customHeight="true">
      <c r="A30" s="116" t="s">
        <v>221</v>
      </c>
      <c r="B30" s="116" t="s">
        <v>222</v>
      </c>
      <c r="C30" s="116" t="s">
        <v>223</v>
      </c>
      <c r="D30" s="116"/>
      <c r="E30" s="117"/>
      <c r="F30" s="117" t="s">
        <v>224</v>
      </c>
      <c r="G30" s="116" t="s">
        <v>224</v>
      </c>
      <c r="H30" s="118" t="n">
        <v>100.0</v>
      </c>
      <c r="I30" s="116" t="s">
        <v>97</v>
      </c>
      <c r="J30" s="118" t="n">
        <v>180000.0</v>
      </c>
      <c r="K30" s="118" t="s">
        <v>98</v>
      </c>
      <c r="L30" s="118" t="s">
        <v>99</v>
      </c>
      <c r="M30" s="118" t="s">
        <v>100</v>
      </c>
      <c r="N30" s="118" t="n">
        <v>160000.0</v>
      </c>
      <c r="O30" s="118" t="n">
        <v>3.0</v>
      </c>
      <c r="P30" s="118"/>
      <c r="Q30" s="118"/>
      <c r="R30" s="118"/>
      <c r="S30" s="118"/>
      <c r="T30" s="118"/>
      <c r="U30" s="118"/>
      <c r="V30" s="118"/>
      <c r="W30" s="118"/>
      <c r="X30" s="118" t="s">
        <v>101</v>
      </c>
      <c r="Y30" s="119" t="s">
        <v>225</v>
      </c>
      <c r="Z30" s="118" t="s">
        <v>103</v>
      </c>
      <c r="AA30" s="118" t="s">
        <v>104</v>
      </c>
      <c r="AB30" s="116" t="s">
        <v>105</v>
      </c>
      <c r="AC30" s="116">
        <f>IF(INDIRECT("AD30")="No agregar cuotas","14.30% + $0.00",IF(INDIRECT("AD30")="Cuotas con interés bajo en uno o ambos canales","14.30% + $0.00",IF(INDIRECT("AD30")="Agregar cuotas","14.30% + $0.00","-")))</f>
      </c>
      <c r="AD30" s="116" t="s">
        <v>114</v>
      </c>
      <c r="AE30" s="116">
        <f>IF(INDIRECT("AD30")="No agregar cuotas","5.00%",IF(INDIRECT("AD30")="Cuotas con interés bajo en uno o ambos canales","5.00%",IF(INDIRECT("AD30")="Agregar cuotas","13.40%","-")))</f>
      </c>
    </row>
  </sheetData>
  <mergeCells count="36">
    <mergeCell ref="A2:G2"/>
    <mergeCell ref="H2:I2"/>
    <mergeCell ref="V3:W3"/>
    <mergeCell ref="T3:U3"/>
    <mergeCell ref="R3:S3"/>
    <mergeCell ref="P3:Q3"/>
    <mergeCell ref="N3:O3"/>
    <mergeCell ref="J2:Y2"/>
    <mergeCell ref="AA2:AE2"/>
    <mergeCell ref="A3:A4"/>
    <mergeCell ref="B3:B4"/>
    <mergeCell ref="C3:C4"/>
    <mergeCell ref="D3:D4"/>
    <mergeCell ref="E3:E4"/>
    <mergeCell ref="F3:F4"/>
    <mergeCell ref="G3:G4"/>
    <mergeCell ref="H3:H4"/>
    <mergeCell ref="I3:I4"/>
    <mergeCell ref="J3:J4"/>
    <mergeCell ref="K3:K4"/>
    <mergeCell ref="L3:L4"/>
    <mergeCell ref="M3:M4"/>
    <mergeCell ref="X3:X4"/>
    <mergeCell ref="Y3:Y4"/>
    <mergeCell ref="Z3:Z4"/>
    <mergeCell ref="AA3:AA4"/>
    <mergeCell ref="AB3:AB4"/>
    <mergeCell ref="AC3:AC4"/>
    <mergeCell ref="AD3:AD4"/>
    <mergeCell ref="AE3:AE4"/>
    <mergeCell ref="K6:L6"/>
    <mergeCell ref="N6:O6"/>
    <mergeCell ref="P6:Q6"/>
    <mergeCell ref="R6:S6"/>
    <mergeCell ref="T6:U6"/>
    <mergeCell ref="V6:W6"/>
  </mergeCells>
  <conditionalFormatting sqref="K7">
    <cfRule type="cellIs" operator="equal" dxfId="1" priority="1">
      <formula>"21 %"</formula>
    </cfRule>
  </conditionalFormatting>
  <conditionalFormatting sqref="L7">
    <cfRule type="cellIs" operator="equal" dxfId="2" priority="2">
      <formula>"0 %"</formula>
    </cfRule>
  </conditionalFormatting>
  <conditionalFormatting sqref="M7">
    <cfRule type="cellIs" operator="equal" dxfId="3" priority="3">
      <formula>"$"</formula>
    </cfRule>
  </conditionalFormatting>
  <conditionalFormatting sqref="X7">
    <cfRule type="cellIs" operator="equal" dxfId="4" priority="4">
      <formula>"Nuevo"</formula>
    </cfRule>
  </conditionalFormatting>
  <conditionalFormatting sqref="Z7">
    <cfRule type="cellIs" operator="equal" dxfId="5" priority="5">
      <formula>"Envíos gratis por mi cuenta"</formula>
    </cfRule>
  </conditionalFormatting>
  <conditionalFormatting sqref="AA7">
    <cfRule type="cellIs" operator="equal" dxfId="6" priority="6">
      <formula>"Activa"</formula>
    </cfRule>
  </conditionalFormatting>
  <conditionalFormatting sqref="AD7">
    <cfRule type="cellIs" operator="equal" dxfId="7" priority="7">
      <formula>"No agregar cuotas"</formula>
    </cfRule>
  </conditionalFormatting>
  <conditionalFormatting sqref="K8">
    <cfRule type="cellIs" operator="equal" dxfId="8" priority="8">
      <formula>"21 %"</formula>
    </cfRule>
  </conditionalFormatting>
  <conditionalFormatting sqref="L8">
    <cfRule type="cellIs" operator="equal" dxfId="9" priority="9">
      <formula>"0 %"</formula>
    </cfRule>
  </conditionalFormatting>
  <conditionalFormatting sqref="M8">
    <cfRule type="cellIs" operator="equal" dxfId="10" priority="10">
      <formula>"$"</formula>
    </cfRule>
  </conditionalFormatting>
  <conditionalFormatting sqref="X8">
    <cfRule type="cellIs" operator="equal" dxfId="11" priority="11">
      <formula>"Nuevo"</formula>
    </cfRule>
  </conditionalFormatting>
  <conditionalFormatting sqref="Z8">
    <cfRule type="cellIs" operator="equal" dxfId="12" priority="12">
      <formula>"Envíos gratis por mi cuenta"</formula>
    </cfRule>
  </conditionalFormatting>
  <conditionalFormatting sqref="AA8">
    <cfRule type="cellIs" operator="equal" dxfId="13" priority="13">
      <formula>"Activa"</formula>
    </cfRule>
  </conditionalFormatting>
  <conditionalFormatting sqref="K9">
    <cfRule type="cellIs" operator="equal" dxfId="14" priority="14">
      <formula>"21 %"</formula>
    </cfRule>
  </conditionalFormatting>
  <conditionalFormatting sqref="L9">
    <cfRule type="cellIs" operator="equal" dxfId="15" priority="15">
      <formula>"0 %"</formula>
    </cfRule>
  </conditionalFormatting>
  <conditionalFormatting sqref="M9">
    <cfRule type="cellIs" operator="equal" dxfId="16" priority="16">
      <formula>"$"</formula>
    </cfRule>
  </conditionalFormatting>
  <conditionalFormatting sqref="X9">
    <cfRule type="cellIs" operator="equal" dxfId="17" priority="17">
      <formula>"Nuevo"</formula>
    </cfRule>
  </conditionalFormatting>
  <conditionalFormatting sqref="Z9">
    <cfRule type="cellIs" operator="equal" dxfId="18" priority="18">
      <formula>"Envíos gratis por mi cuenta"</formula>
    </cfRule>
  </conditionalFormatting>
  <conditionalFormatting sqref="AA9">
    <cfRule type="cellIs" operator="equal" dxfId="19" priority="19">
      <formula>"Activa"</formula>
    </cfRule>
  </conditionalFormatting>
  <conditionalFormatting sqref="K10">
    <cfRule type="cellIs" operator="equal" dxfId="20" priority="20">
      <formula>"21 %"</formula>
    </cfRule>
  </conditionalFormatting>
  <conditionalFormatting sqref="L10">
    <cfRule type="cellIs" operator="equal" dxfId="21" priority="21">
      <formula>"0 %"</formula>
    </cfRule>
  </conditionalFormatting>
  <conditionalFormatting sqref="M10">
    <cfRule type="cellIs" operator="equal" dxfId="22" priority="22">
      <formula>"$"</formula>
    </cfRule>
  </conditionalFormatting>
  <conditionalFormatting sqref="X10">
    <cfRule type="cellIs" operator="equal" dxfId="23" priority="23">
      <formula>"Nuevo"</formula>
    </cfRule>
  </conditionalFormatting>
  <conditionalFormatting sqref="Z10">
    <cfRule type="cellIs" operator="equal" dxfId="24" priority="24">
      <formula>"Envíos gratis por mi cuenta"</formula>
    </cfRule>
  </conditionalFormatting>
  <conditionalFormatting sqref="AA10">
    <cfRule type="cellIs" operator="equal" dxfId="25" priority="25">
      <formula>"Activa"</formula>
    </cfRule>
  </conditionalFormatting>
  <conditionalFormatting sqref="AD10">
    <cfRule type="cellIs" operator="equal" dxfId="26" priority="26">
      <formula>"Agregar cuotas"</formula>
    </cfRule>
  </conditionalFormatting>
  <conditionalFormatting sqref="K11">
    <cfRule type="cellIs" operator="equal" dxfId="27" priority="27">
      <formula>"21 %"</formula>
    </cfRule>
  </conditionalFormatting>
  <conditionalFormatting sqref="L11">
    <cfRule type="cellIs" operator="equal" dxfId="28" priority="28">
      <formula>"0 %"</formula>
    </cfRule>
  </conditionalFormatting>
  <conditionalFormatting sqref="M11">
    <cfRule type="cellIs" operator="equal" dxfId="29" priority="29">
      <formula>"$"</formula>
    </cfRule>
  </conditionalFormatting>
  <conditionalFormatting sqref="X11">
    <cfRule type="cellIs" operator="equal" dxfId="30" priority="30">
      <formula>"Nuevo"</formula>
    </cfRule>
  </conditionalFormatting>
  <conditionalFormatting sqref="Z11">
    <cfRule type="cellIs" operator="equal" dxfId="31" priority="31">
      <formula>"Envíos gratis por mi cuenta"</formula>
    </cfRule>
  </conditionalFormatting>
  <conditionalFormatting sqref="AA11">
    <cfRule type="cellIs" operator="equal" dxfId="32" priority="32">
      <formula>"Activa"</formula>
    </cfRule>
  </conditionalFormatting>
  <conditionalFormatting sqref="K12">
    <cfRule type="cellIs" operator="equal" dxfId="33" priority="33">
      <formula>"21 %"</formula>
    </cfRule>
  </conditionalFormatting>
  <conditionalFormatting sqref="L12">
    <cfRule type="cellIs" operator="equal" dxfId="34" priority="34">
      <formula>"0 %"</formula>
    </cfRule>
  </conditionalFormatting>
  <conditionalFormatting sqref="M12">
    <cfRule type="cellIs" operator="equal" dxfId="35" priority="35">
      <formula>"$"</formula>
    </cfRule>
  </conditionalFormatting>
  <conditionalFormatting sqref="X12">
    <cfRule type="cellIs" operator="equal" dxfId="36" priority="36">
      <formula>"Nuevo"</formula>
    </cfRule>
  </conditionalFormatting>
  <conditionalFormatting sqref="Z12">
    <cfRule type="cellIs" operator="equal" dxfId="37" priority="37">
      <formula>"Envíos gratis por mi cuenta"</formula>
    </cfRule>
  </conditionalFormatting>
  <conditionalFormatting sqref="AA12">
    <cfRule type="cellIs" operator="equal" dxfId="38" priority="38">
      <formula>"Activa"</formula>
    </cfRule>
  </conditionalFormatting>
  <conditionalFormatting sqref="K13">
    <cfRule type="cellIs" operator="equal" dxfId="39" priority="39">
      <formula>"21 %"</formula>
    </cfRule>
  </conditionalFormatting>
  <conditionalFormatting sqref="L13">
    <cfRule type="cellIs" operator="equal" dxfId="40" priority="40">
      <formula>"0 %"</formula>
    </cfRule>
  </conditionalFormatting>
  <conditionalFormatting sqref="M13">
    <cfRule type="cellIs" operator="equal" dxfId="41" priority="41">
      <formula>"$"</formula>
    </cfRule>
  </conditionalFormatting>
  <conditionalFormatting sqref="X13">
    <cfRule type="cellIs" operator="equal" dxfId="42" priority="42">
      <formula>"Nuevo"</formula>
    </cfRule>
  </conditionalFormatting>
  <conditionalFormatting sqref="Z13">
    <cfRule type="cellIs" operator="equal" dxfId="43" priority="43">
      <formula>"Envíos gratis por mi cuenta"</formula>
    </cfRule>
  </conditionalFormatting>
  <conditionalFormatting sqref="AA13">
    <cfRule type="cellIs" operator="equal" dxfId="44" priority="44">
      <formula>"Activa"</formula>
    </cfRule>
  </conditionalFormatting>
  <conditionalFormatting sqref="K14">
    <cfRule type="cellIs" operator="equal" dxfId="45" priority="45">
      <formula>"21 %"</formula>
    </cfRule>
  </conditionalFormatting>
  <conditionalFormatting sqref="L14">
    <cfRule type="cellIs" operator="equal" dxfId="46" priority="46">
      <formula>"0 %"</formula>
    </cfRule>
  </conditionalFormatting>
  <conditionalFormatting sqref="M14">
    <cfRule type="cellIs" operator="equal" dxfId="47" priority="47">
      <formula>"$"</formula>
    </cfRule>
  </conditionalFormatting>
  <conditionalFormatting sqref="Z14">
    <cfRule type="cellIs" operator="equal" dxfId="48" priority="48">
      <formula>"Envíos gratis por mi cuenta"</formula>
    </cfRule>
  </conditionalFormatting>
  <conditionalFormatting sqref="AA14">
    <cfRule type="cellIs" operator="equal" dxfId="49" priority="49">
      <formula>"Activa"</formula>
    </cfRule>
  </conditionalFormatting>
  <conditionalFormatting sqref="K15">
    <cfRule type="cellIs" operator="equal" dxfId="50" priority="50">
      <formula>"21 %"</formula>
    </cfRule>
  </conditionalFormatting>
  <conditionalFormatting sqref="L15">
    <cfRule type="cellIs" operator="equal" dxfId="51" priority="51">
      <formula>"0 %"</formula>
    </cfRule>
  </conditionalFormatting>
  <conditionalFormatting sqref="M15">
    <cfRule type="cellIs" operator="equal" dxfId="52" priority="52">
      <formula>"$"</formula>
    </cfRule>
  </conditionalFormatting>
  <conditionalFormatting sqref="X15">
    <cfRule type="cellIs" operator="equal" dxfId="53" priority="53">
      <formula>"Nuevo"</formula>
    </cfRule>
  </conditionalFormatting>
  <conditionalFormatting sqref="Z15">
    <cfRule type="cellIs" operator="equal" dxfId="54" priority="54">
      <formula>"Envíos gratis por mi cuenta"</formula>
    </cfRule>
  </conditionalFormatting>
  <conditionalFormatting sqref="AA15">
    <cfRule type="cellIs" operator="equal" dxfId="55" priority="55">
      <formula>"Activa"</formula>
    </cfRule>
  </conditionalFormatting>
  <conditionalFormatting sqref="K16">
    <cfRule type="cellIs" operator="equal" dxfId="56" priority="56">
      <formula>"21 %"</formula>
    </cfRule>
  </conditionalFormatting>
  <conditionalFormatting sqref="L16">
    <cfRule type="cellIs" operator="equal" dxfId="57" priority="57">
      <formula>"0 %"</formula>
    </cfRule>
  </conditionalFormatting>
  <conditionalFormatting sqref="M16">
    <cfRule type="cellIs" operator="equal" dxfId="58" priority="58">
      <formula>"$"</formula>
    </cfRule>
  </conditionalFormatting>
  <conditionalFormatting sqref="X16">
    <cfRule type="cellIs" operator="equal" dxfId="59" priority="59">
      <formula>"Nuevo"</formula>
    </cfRule>
  </conditionalFormatting>
  <conditionalFormatting sqref="Z16">
    <cfRule type="cellIs" operator="equal" dxfId="60" priority="60">
      <formula>"Envíos gratis por mi cuenta"</formula>
    </cfRule>
  </conditionalFormatting>
  <conditionalFormatting sqref="AA16">
    <cfRule type="cellIs" operator="equal" dxfId="61" priority="61">
      <formula>"Activa"</formula>
    </cfRule>
  </conditionalFormatting>
  <conditionalFormatting sqref="K17">
    <cfRule type="cellIs" operator="equal" dxfId="62" priority="62">
      <formula>"21 %"</formula>
    </cfRule>
  </conditionalFormatting>
  <conditionalFormatting sqref="L17">
    <cfRule type="cellIs" operator="equal" dxfId="63" priority="63">
      <formula>"0 %"</formula>
    </cfRule>
  </conditionalFormatting>
  <conditionalFormatting sqref="M17">
    <cfRule type="cellIs" operator="equal" dxfId="64" priority="64">
      <formula>"$"</formula>
    </cfRule>
  </conditionalFormatting>
  <conditionalFormatting sqref="X17">
    <cfRule type="cellIs" operator="equal" dxfId="65" priority="65">
      <formula>"Nuevo"</formula>
    </cfRule>
  </conditionalFormatting>
  <conditionalFormatting sqref="Z17">
    <cfRule type="cellIs" operator="equal" dxfId="66" priority="66">
      <formula>"Envíos gratis por mi cuenta"</formula>
    </cfRule>
  </conditionalFormatting>
  <conditionalFormatting sqref="AA17">
    <cfRule type="cellIs" operator="equal" dxfId="67" priority="67">
      <formula>"Activa"</formula>
    </cfRule>
  </conditionalFormatting>
  <conditionalFormatting sqref="K18">
    <cfRule type="cellIs" operator="equal" dxfId="68" priority="68">
      <formula>"21 %"</formula>
    </cfRule>
  </conditionalFormatting>
  <conditionalFormatting sqref="L18">
    <cfRule type="cellIs" operator="equal" dxfId="69" priority="69">
      <formula>"0 %"</formula>
    </cfRule>
  </conditionalFormatting>
  <conditionalFormatting sqref="M18">
    <cfRule type="cellIs" operator="equal" dxfId="70" priority="70">
      <formula>"$"</formula>
    </cfRule>
  </conditionalFormatting>
  <conditionalFormatting sqref="X18">
    <cfRule type="cellIs" operator="equal" dxfId="71" priority="71">
      <formula>"Nuevo"</formula>
    </cfRule>
  </conditionalFormatting>
  <conditionalFormatting sqref="Z18">
    <cfRule type="cellIs" operator="equal" dxfId="72" priority="72">
      <formula>"Envíos gratis por mi cuenta"</formula>
    </cfRule>
  </conditionalFormatting>
  <conditionalFormatting sqref="AA18">
    <cfRule type="cellIs" operator="equal" dxfId="73" priority="73">
      <formula>"Activa"</formula>
    </cfRule>
  </conditionalFormatting>
  <conditionalFormatting sqref="K19">
    <cfRule type="cellIs" operator="equal" dxfId="74" priority="74">
      <formula>"21 %"</formula>
    </cfRule>
  </conditionalFormatting>
  <conditionalFormatting sqref="L19">
    <cfRule type="cellIs" operator="equal" dxfId="75" priority="75">
      <formula>"0 %"</formula>
    </cfRule>
  </conditionalFormatting>
  <conditionalFormatting sqref="M19">
    <cfRule type="cellIs" operator="equal" dxfId="76" priority="76">
      <formula>"$"</formula>
    </cfRule>
  </conditionalFormatting>
  <conditionalFormatting sqref="X19">
    <cfRule type="cellIs" operator="equal" dxfId="77" priority="77">
      <formula>"Nuevo"</formula>
    </cfRule>
  </conditionalFormatting>
  <conditionalFormatting sqref="Z19">
    <cfRule type="cellIs" operator="equal" dxfId="78" priority="78">
      <formula>"Envíos gratis por mi cuenta"</formula>
    </cfRule>
  </conditionalFormatting>
  <conditionalFormatting sqref="AA19">
    <cfRule type="cellIs" operator="equal" dxfId="79" priority="79">
      <formula>"Activa"</formula>
    </cfRule>
  </conditionalFormatting>
  <conditionalFormatting sqref="K20">
    <cfRule type="cellIs" operator="equal" dxfId="80" priority="80">
      <formula>"21 %"</formula>
    </cfRule>
  </conditionalFormatting>
  <conditionalFormatting sqref="L20">
    <cfRule type="cellIs" operator="equal" dxfId="81" priority="81">
      <formula>"0 %"</formula>
    </cfRule>
  </conditionalFormatting>
  <conditionalFormatting sqref="M20">
    <cfRule type="cellIs" operator="equal" dxfId="82" priority="82">
      <formula>"$"</formula>
    </cfRule>
  </conditionalFormatting>
  <conditionalFormatting sqref="X20">
    <cfRule type="cellIs" operator="equal" dxfId="83" priority="83">
      <formula>"Nuevo"</formula>
    </cfRule>
  </conditionalFormatting>
  <conditionalFormatting sqref="Z20">
    <cfRule type="cellIs" operator="equal" dxfId="84" priority="84">
      <formula>"Envíos gratis por mi cuenta"</formula>
    </cfRule>
  </conditionalFormatting>
  <conditionalFormatting sqref="AA20">
    <cfRule type="cellIs" operator="equal" dxfId="85" priority="85">
      <formula>"Activa"</formula>
    </cfRule>
  </conditionalFormatting>
  <conditionalFormatting sqref="K21">
    <cfRule type="cellIs" operator="equal" dxfId="86" priority="86">
      <formula>"21 %"</formula>
    </cfRule>
  </conditionalFormatting>
  <conditionalFormatting sqref="L21">
    <cfRule type="cellIs" operator="equal" dxfId="87" priority="87">
      <formula>"0 %"</formula>
    </cfRule>
  </conditionalFormatting>
  <conditionalFormatting sqref="M21">
    <cfRule type="cellIs" operator="equal" dxfId="88" priority="88">
      <formula>"$"</formula>
    </cfRule>
  </conditionalFormatting>
  <conditionalFormatting sqref="X21">
    <cfRule type="cellIs" operator="equal" dxfId="89" priority="89">
      <formula>"Nuevo"</formula>
    </cfRule>
  </conditionalFormatting>
  <conditionalFormatting sqref="Z21">
    <cfRule type="cellIs" operator="equal" dxfId="90" priority="90">
      <formula>"Envíos gratis por mi cuenta"</formula>
    </cfRule>
  </conditionalFormatting>
  <conditionalFormatting sqref="AA21">
    <cfRule type="cellIs" operator="equal" dxfId="91" priority="91">
      <formula>"Activa"</formula>
    </cfRule>
  </conditionalFormatting>
  <conditionalFormatting sqref="K22">
    <cfRule type="cellIs" operator="equal" dxfId="92" priority="92">
      <formula>"21 %"</formula>
    </cfRule>
  </conditionalFormatting>
  <conditionalFormatting sqref="L22">
    <cfRule type="cellIs" operator="equal" dxfId="93" priority="93">
      <formula>"0 %"</formula>
    </cfRule>
  </conditionalFormatting>
  <conditionalFormatting sqref="M22">
    <cfRule type="cellIs" operator="equal" dxfId="94" priority="94">
      <formula>"$"</formula>
    </cfRule>
  </conditionalFormatting>
  <conditionalFormatting sqref="X22">
    <cfRule type="cellIs" operator="equal" dxfId="95" priority="95">
      <formula>"Nuevo"</formula>
    </cfRule>
  </conditionalFormatting>
  <conditionalFormatting sqref="Z22">
    <cfRule type="cellIs" operator="equal" dxfId="96" priority="96">
      <formula>"Envíos gratis por mi cuenta"</formula>
    </cfRule>
  </conditionalFormatting>
  <conditionalFormatting sqref="AA22">
    <cfRule type="cellIs" operator="equal" dxfId="97" priority="97">
      <formula>"Activa"</formula>
    </cfRule>
  </conditionalFormatting>
  <conditionalFormatting sqref="K23">
    <cfRule type="cellIs" operator="equal" dxfId="98" priority="98">
      <formula>"21 %"</formula>
    </cfRule>
  </conditionalFormatting>
  <conditionalFormatting sqref="L23">
    <cfRule type="cellIs" operator="equal" dxfId="99" priority="99">
      <formula>"0 %"</formula>
    </cfRule>
  </conditionalFormatting>
  <conditionalFormatting sqref="M23">
    <cfRule type="cellIs" operator="equal" dxfId="100" priority="100">
      <formula>"$"</formula>
    </cfRule>
  </conditionalFormatting>
  <conditionalFormatting sqref="X23">
    <cfRule type="cellIs" operator="equal" dxfId="101" priority="101">
      <formula>"Nuevo"</formula>
    </cfRule>
  </conditionalFormatting>
  <conditionalFormatting sqref="Z23">
    <cfRule type="cellIs" operator="equal" dxfId="102" priority="102">
      <formula>"Envíos gratis por mi cuenta"</formula>
    </cfRule>
  </conditionalFormatting>
  <conditionalFormatting sqref="AA23">
    <cfRule type="cellIs" operator="equal" dxfId="103" priority="103">
      <formula>"Activa"</formula>
    </cfRule>
  </conditionalFormatting>
  <conditionalFormatting sqref="AD23">
    <cfRule type="cellIs" operator="equal" dxfId="104" priority="104">
      <formula>"Agregar cuotas"</formula>
    </cfRule>
  </conditionalFormatting>
  <conditionalFormatting sqref="K24">
    <cfRule type="cellIs" operator="equal" dxfId="105" priority="105">
      <formula>"21 %"</formula>
    </cfRule>
  </conditionalFormatting>
  <conditionalFormatting sqref="L24">
    <cfRule type="cellIs" operator="equal" dxfId="106" priority="106">
      <formula>"0 %"</formula>
    </cfRule>
  </conditionalFormatting>
  <conditionalFormatting sqref="M24">
    <cfRule type="cellIs" operator="equal" dxfId="107" priority="107">
      <formula>"$"</formula>
    </cfRule>
  </conditionalFormatting>
  <conditionalFormatting sqref="X24">
    <cfRule type="cellIs" operator="equal" dxfId="108" priority="108">
      <formula>"Nuevo"</formula>
    </cfRule>
  </conditionalFormatting>
  <conditionalFormatting sqref="Z24">
    <cfRule type="cellIs" operator="equal" dxfId="109" priority="109">
      <formula>"Envíos gratis por mi cuenta"</formula>
    </cfRule>
  </conditionalFormatting>
  <conditionalFormatting sqref="AA24">
    <cfRule type="cellIs" operator="equal" dxfId="110" priority="110">
      <formula>"Activa"</formula>
    </cfRule>
  </conditionalFormatting>
  <conditionalFormatting sqref="K25">
    <cfRule type="cellIs" operator="equal" dxfId="111" priority="111">
      <formula>"21 %"</formula>
    </cfRule>
  </conditionalFormatting>
  <conditionalFormatting sqref="L25">
    <cfRule type="cellIs" operator="equal" dxfId="112" priority="112">
      <formula>"0 %"</formula>
    </cfRule>
  </conditionalFormatting>
  <conditionalFormatting sqref="M25">
    <cfRule type="cellIs" operator="equal" dxfId="113" priority="113">
      <formula>"$"</formula>
    </cfRule>
  </conditionalFormatting>
  <conditionalFormatting sqref="X25">
    <cfRule type="cellIs" operator="equal" dxfId="114" priority="114">
      <formula>"Nuevo"</formula>
    </cfRule>
  </conditionalFormatting>
  <conditionalFormatting sqref="Z25">
    <cfRule type="cellIs" operator="equal" dxfId="115" priority="115">
      <formula>"Envíos gratis por mi cuenta"</formula>
    </cfRule>
  </conditionalFormatting>
  <conditionalFormatting sqref="AA25">
    <cfRule type="cellIs" operator="equal" dxfId="116" priority="116">
      <formula>"Activa"</formula>
    </cfRule>
  </conditionalFormatting>
  <conditionalFormatting sqref="K26">
    <cfRule type="cellIs" operator="equal" dxfId="117" priority="117">
      <formula>"21 %"</formula>
    </cfRule>
  </conditionalFormatting>
  <conditionalFormatting sqref="L26">
    <cfRule type="cellIs" operator="equal" dxfId="118" priority="118">
      <formula>"0 %"</formula>
    </cfRule>
  </conditionalFormatting>
  <conditionalFormatting sqref="M26">
    <cfRule type="cellIs" operator="equal" dxfId="119" priority="119">
      <formula>"$"</formula>
    </cfRule>
  </conditionalFormatting>
  <conditionalFormatting sqref="X26">
    <cfRule type="cellIs" operator="equal" dxfId="120" priority="120">
      <formula>"Nuevo"</formula>
    </cfRule>
  </conditionalFormatting>
  <conditionalFormatting sqref="Z26">
    <cfRule type="cellIs" operator="equal" dxfId="121" priority="121">
      <formula>"Envíos gratis por mi cuenta"</formula>
    </cfRule>
  </conditionalFormatting>
  <conditionalFormatting sqref="AA26">
    <cfRule type="cellIs" operator="equal" dxfId="122" priority="122">
      <formula>"Activa"</formula>
    </cfRule>
  </conditionalFormatting>
  <conditionalFormatting sqref="K27">
    <cfRule type="cellIs" operator="equal" dxfId="123" priority="123">
      <formula>"21 %"</formula>
    </cfRule>
  </conditionalFormatting>
  <conditionalFormatting sqref="L27">
    <cfRule type="cellIs" operator="equal" dxfId="124" priority="124">
      <formula>"0 %"</formula>
    </cfRule>
  </conditionalFormatting>
  <conditionalFormatting sqref="M27">
    <cfRule type="cellIs" operator="equal" dxfId="125" priority="125">
      <formula>"$"</formula>
    </cfRule>
  </conditionalFormatting>
  <conditionalFormatting sqref="X27">
    <cfRule type="cellIs" operator="equal" dxfId="126" priority="126">
      <formula>"Nuevo"</formula>
    </cfRule>
  </conditionalFormatting>
  <conditionalFormatting sqref="Z27">
    <cfRule type="cellIs" operator="equal" dxfId="127" priority="127">
      <formula>"Envíos gratis por mi cuenta"</formula>
    </cfRule>
  </conditionalFormatting>
  <conditionalFormatting sqref="AA27">
    <cfRule type="cellIs" operator="equal" dxfId="128" priority="128">
      <formula>"Activa"</formula>
    </cfRule>
  </conditionalFormatting>
  <conditionalFormatting sqref="K28">
    <cfRule type="cellIs" operator="equal" dxfId="129" priority="129">
      <formula>"21 %"</formula>
    </cfRule>
  </conditionalFormatting>
  <conditionalFormatting sqref="L28">
    <cfRule type="cellIs" operator="equal" dxfId="130" priority="130">
      <formula>"0 %"</formula>
    </cfRule>
  </conditionalFormatting>
  <conditionalFormatting sqref="M28">
    <cfRule type="cellIs" operator="equal" dxfId="131" priority="131">
      <formula>"$"</formula>
    </cfRule>
  </conditionalFormatting>
  <conditionalFormatting sqref="X28">
    <cfRule type="cellIs" operator="equal" dxfId="132" priority="132">
      <formula>"Nuevo"</formula>
    </cfRule>
  </conditionalFormatting>
  <conditionalFormatting sqref="Z28">
    <cfRule type="cellIs" operator="equal" dxfId="133" priority="133">
      <formula>"Envíos gratis por mi cuenta"</formula>
    </cfRule>
  </conditionalFormatting>
  <conditionalFormatting sqref="AA28">
    <cfRule type="cellIs" operator="equal" dxfId="134" priority="134">
      <formula>"Activa"</formula>
    </cfRule>
  </conditionalFormatting>
  <conditionalFormatting sqref="AD28">
    <cfRule type="cellIs" operator="equal" dxfId="135" priority="135">
      <formula>"Agregar cuotas"</formula>
    </cfRule>
  </conditionalFormatting>
  <conditionalFormatting sqref="K29">
    <cfRule type="cellIs" operator="equal" dxfId="136" priority="136">
      <formula>"21 %"</formula>
    </cfRule>
  </conditionalFormatting>
  <conditionalFormatting sqref="L29">
    <cfRule type="cellIs" operator="equal" dxfId="137" priority="137">
      <formula>"0 %"</formula>
    </cfRule>
  </conditionalFormatting>
  <conditionalFormatting sqref="M29">
    <cfRule type="cellIs" operator="equal" dxfId="138" priority="138">
      <formula>"$"</formula>
    </cfRule>
  </conditionalFormatting>
  <conditionalFormatting sqref="X29">
    <cfRule type="cellIs" operator="equal" dxfId="139" priority="139">
      <formula>"Nuevo"</formula>
    </cfRule>
  </conditionalFormatting>
  <conditionalFormatting sqref="Z29">
    <cfRule type="cellIs" operator="equal" dxfId="140" priority="140">
      <formula>"Envíos gratis por mi cuenta"</formula>
    </cfRule>
  </conditionalFormatting>
  <conditionalFormatting sqref="AA29">
    <cfRule type="cellIs" operator="equal" dxfId="141" priority="141">
      <formula>"Activa"</formula>
    </cfRule>
  </conditionalFormatting>
  <conditionalFormatting sqref="K30">
    <cfRule type="cellIs" operator="equal" dxfId="142" priority="142">
      <formula>"21 %"</formula>
    </cfRule>
  </conditionalFormatting>
  <conditionalFormatting sqref="L30">
    <cfRule type="cellIs" operator="equal" dxfId="143" priority="143">
      <formula>"0 %"</formula>
    </cfRule>
  </conditionalFormatting>
  <conditionalFormatting sqref="M30">
    <cfRule type="cellIs" operator="equal" dxfId="144" priority="144">
      <formula>"$"</formula>
    </cfRule>
  </conditionalFormatting>
  <conditionalFormatting sqref="X30">
    <cfRule type="cellIs" operator="equal" dxfId="145" priority="145">
      <formula>"Nuevo"</formula>
    </cfRule>
  </conditionalFormatting>
  <conditionalFormatting sqref="Z30">
    <cfRule type="cellIs" operator="equal" dxfId="146" priority="146">
      <formula>"Envíos gratis por mi cuenta"</formula>
    </cfRule>
  </conditionalFormatting>
  <conditionalFormatting sqref="AA30">
    <cfRule type="cellIs" operator="equal" dxfId="147" priority="147">
      <formula>"Activa"</formula>
    </cfRule>
  </conditionalFormatting>
  <dataValidations count="147">
    <dataValidation type="list" sqref="K7" allowBlank="true" errorStyle="stop" showErrorMessage="true" showInputMessage="true">
      <formula1>"Exento,0 %,10.5 %,21 %,27 %"</formula1>
    </dataValidation>
    <dataValidation type="list" sqref="L7" allowBlank="true" errorStyle="stop" showErrorMessage="true" showInputMessage="true">
      <formula1>"0 %,1 %,2.5 %,4 %,5 %,8 %,9.5 %,10 %,14 %,15 %,18 %,19 %,20 %,23 %,25 %,26 %,70 %"</formula1>
    </dataValidation>
    <dataValidation type="list" sqref="M7" allowBlank="true" errorStyle="stop" showErrorMessage="true" showInputMessage="true">
      <formula1>"$,US$"</formula1>
    </dataValidation>
    <dataValidation type="list" sqref="X7" allowBlank="true" errorStyle="stop" showErrorMessage="true" showInputMessage="true">
      <formula1>"Nuevo,Usado"</formula1>
    </dataValidation>
    <dataValidation type="list" sqref="Z7" allowBlank="true" errorStyle="stop" showErrorMessage="true" showInputMessage="true">
      <formula1>"Envíos por mi cuenta a cargo del comprador,Envíos gratis por mi cuenta,No realizo envíos"</formula1>
    </dataValidation>
    <dataValidation type="list" sqref="AA7" allowBlank="true" errorStyle="stop" showErrorMessage="true" showInputMessage="true">
      <formula1>"Activa,Inactiva"</formula1>
    </dataValidation>
    <dataValidation type="list" sqref="AD7" allowBlank="true" errorStyle="stop" showErrorMessage="true" showInputMessage="true">
      <formula1>"Agregar cuotas,No agregar cuotas"</formula1>
    </dataValidation>
    <dataValidation type="list" sqref="K8" allowBlank="true" errorStyle="stop" showErrorMessage="true" showInputMessage="true">
      <formula1>"Exento,0 %,10.5 %,21 %,27 %"</formula1>
    </dataValidation>
    <dataValidation type="list" sqref="L8" allowBlank="true" errorStyle="stop" showErrorMessage="true" showInputMessage="true">
      <formula1>"0 %,1 %,2.5 %,4 %,5 %,8 %,9.5 %,10 %,14 %,15 %,18 %,19 %,20 %,23 %,25 %,26 %,70 %"</formula1>
    </dataValidation>
    <dataValidation type="list" sqref="M8" allowBlank="true" errorStyle="stop" showErrorMessage="true" showInputMessage="true">
      <formula1>"$,US$"</formula1>
    </dataValidation>
    <dataValidation type="list" sqref="X8" allowBlank="true" errorStyle="stop" showErrorMessage="true" showInputMessage="true">
      <formula1>"Nuevo,Usado"</formula1>
    </dataValidation>
    <dataValidation type="list" sqref="Z8"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8" allowBlank="true" errorStyle="stop" showErrorMessage="true" showInputMessage="true">
      <formula1>"Activa,Inactiva"</formula1>
    </dataValidation>
    <dataValidation type="list" sqref="K9" allowBlank="true" errorStyle="stop" showErrorMessage="true" showInputMessage="true">
      <formula1>"Exento,0 %,10.5 %,21 %,27 %"</formula1>
    </dataValidation>
    <dataValidation type="list" sqref="L9" allowBlank="true" errorStyle="stop" showErrorMessage="true" showInputMessage="true">
      <formula1>"0 %,1 %,2.5 %,4 %,5 %,8 %,9.5 %,10 %,14 %,15 %,18 %,19 %,20 %,23 %,25 %,26 %,70 %"</formula1>
    </dataValidation>
    <dataValidation type="list" sqref="M9" allowBlank="true" errorStyle="stop" showErrorMessage="true" showInputMessage="true">
      <formula1>"$,US$"</formula1>
    </dataValidation>
    <dataValidation type="list" sqref="X9" allowBlank="true" errorStyle="stop" showErrorMessage="true" showInputMessage="true">
      <formula1>"Nuevo,Usado"</formula1>
    </dataValidation>
    <dataValidation type="list" sqref="Z9" allowBlank="true" errorStyle="stop" showErrorMessage="true" showInputMessage="true">
      <formula1>"Envíos por mi cuenta a cargo del comprador,Envíos gratis por mi cuenta,No realizo envíos"</formula1>
    </dataValidation>
    <dataValidation type="list" sqref="AA9" allowBlank="true" errorStyle="stop" showErrorMessage="true" showInputMessage="true">
      <formula1>"Activa,Inactiva"</formula1>
    </dataValidation>
    <dataValidation type="list" sqref="K10" allowBlank="true" errorStyle="stop" showErrorMessage="true" showInputMessage="true">
      <formula1>"Exento,0 %,10.5 %,21 %,27 %"</formula1>
    </dataValidation>
    <dataValidation type="list" sqref="L10" allowBlank="true" errorStyle="stop" showErrorMessage="true" showInputMessage="true">
      <formula1>"0 %,1 %,2.5 %,4 %,5 %,8 %,9.5 %,10 %,14 %,15 %,18 %,19 %,20 %,23 %,25 %,26 %,70 %"</formula1>
    </dataValidation>
    <dataValidation type="list" sqref="M10" allowBlank="true" errorStyle="stop" showErrorMessage="true" showInputMessage="true">
      <formula1>"$,US$"</formula1>
    </dataValidation>
    <dataValidation type="list" sqref="X10" allowBlank="true" errorStyle="stop" showErrorMessage="true" showInputMessage="true">
      <formula1>"Nuevo,Usado"</formula1>
    </dataValidation>
    <dataValidation type="list" sqref="Z10"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10" allowBlank="true" errorStyle="stop" showErrorMessage="true" showInputMessage="true">
      <formula1>"Activa,Inactiva"</formula1>
    </dataValidation>
    <dataValidation type="list" sqref="AD10" allowBlank="true" errorStyle="stop" showErrorMessage="true" showInputMessage="true">
      <formula1>"Agregar cuotas,No agregar cuotas"</formula1>
    </dataValidation>
    <dataValidation type="list" sqref="K11" allowBlank="true" errorStyle="stop" showErrorMessage="true" showInputMessage="true">
      <formula1>"Exento,0 %,10.5 %,21 %,27 %"</formula1>
    </dataValidation>
    <dataValidation type="list" sqref="L11" allowBlank="true" errorStyle="stop" showErrorMessage="true" showInputMessage="true">
      <formula1>"0 %,1 %,2.5 %,4 %,5 %,8 %,9.5 %,10 %,14 %,15 %,18 %,19 %,20 %,23 %,25 %,26 %,70 %"</formula1>
    </dataValidation>
    <dataValidation type="list" sqref="M11" allowBlank="true" errorStyle="stop" showErrorMessage="true" showInputMessage="true">
      <formula1>"$,US$"</formula1>
    </dataValidation>
    <dataValidation type="list" sqref="X11" allowBlank="true" errorStyle="stop" showErrorMessage="true" showInputMessage="true">
      <formula1>"Nuevo,Usado"</formula1>
    </dataValidation>
    <dataValidation type="list" sqref="Z11" allowBlank="true" errorStyle="stop" showErrorMessage="true" showInputMessage="true">
      <formula1>"Envíos por mi cuenta a cargo del comprador,Envíos gratis por mi cuenta,No realizo envíos"</formula1>
    </dataValidation>
    <dataValidation type="list" sqref="AA11" allowBlank="true" errorStyle="stop" showErrorMessage="true" showInputMessage="true">
      <formula1>"Activa,Inactiva"</formula1>
    </dataValidation>
    <dataValidation type="list" sqref="K12" allowBlank="true" errorStyle="stop" showErrorMessage="true" showInputMessage="true">
      <formula1>"Exento,0 %,10.5 %,21 %,27 %"</formula1>
    </dataValidation>
    <dataValidation type="list" sqref="L12" allowBlank="true" errorStyle="stop" showErrorMessage="true" showInputMessage="true">
      <formula1>"0 %,1 %,2.5 %,4 %,5 %,8 %,9.5 %,10 %,14 %,15 %,18 %,19 %,20 %,23 %,25 %,26 %,70 %"</formula1>
    </dataValidation>
    <dataValidation type="list" sqref="M12" allowBlank="true" errorStyle="stop" showErrorMessage="true" showInputMessage="true">
      <formula1>"$,US$"</formula1>
    </dataValidation>
    <dataValidation type="list" sqref="X12" allowBlank="true" errorStyle="stop" showErrorMessage="true" showInputMessage="true">
      <formula1>"Nuevo,Usado"</formula1>
    </dataValidation>
    <dataValidation type="list" sqref="Z12"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12" allowBlank="true" errorStyle="stop" showErrorMessage="true" showInputMessage="true">
      <formula1>"Activa,Inactiva"</formula1>
    </dataValidation>
    <dataValidation type="list" sqref="K13" allowBlank="true" errorStyle="stop" showErrorMessage="true" showInputMessage="true">
      <formula1>"Exento,0 %,10.5 %,21 %,27 %"</formula1>
    </dataValidation>
    <dataValidation type="list" sqref="L13" allowBlank="true" errorStyle="stop" showErrorMessage="true" showInputMessage="true">
      <formula1>"0 %,1 %,2.5 %,4 %,5 %,8 %,9.5 %,10 %,14 %,15 %,18 %,19 %,20 %,23 %,25 %,26 %,70 %"</formula1>
    </dataValidation>
    <dataValidation type="list" sqref="M13" allowBlank="true" errorStyle="stop" showErrorMessage="true" showInputMessage="true">
      <formula1>"$,US$"</formula1>
    </dataValidation>
    <dataValidation type="list" sqref="X13" allowBlank="true" errorStyle="stop" showErrorMessage="true" showInputMessage="true">
      <formula1>"Nuevo,Usado"</formula1>
    </dataValidation>
    <dataValidation type="list" sqref="Z13" allowBlank="true" errorStyle="stop" showErrorMessage="true" showInputMessage="true">
      <formula1>"Envíos por mi cuenta a cargo del comprador,Envíos gratis por mi cuenta,No realizo envíos"</formula1>
    </dataValidation>
    <dataValidation type="list" sqref="AA13" allowBlank="true" errorStyle="stop" showErrorMessage="true" showInputMessage="true">
      <formula1>"Activa,Inactiva"</formula1>
    </dataValidation>
    <dataValidation type="list" sqref="K14" allowBlank="true" errorStyle="stop" showErrorMessage="true" showInputMessage="true">
      <formula1>"Exento,0 %,10.5 %,21 %,27 %"</formula1>
    </dataValidation>
    <dataValidation type="list" sqref="L14" allowBlank="true" errorStyle="stop" showErrorMessage="true" showInputMessage="true">
      <formula1>"0 %,1 %,2.5 %,4 %,5 %,8 %,9.5 %,10 %,14 %,15 %,18 %,19 %,20 %,23 %,25 %,26 %,70 %"</formula1>
    </dataValidation>
    <dataValidation type="list" sqref="M14" allowBlank="true" errorStyle="stop" showErrorMessage="true" showInputMessage="true">
      <formula1>"$,US$"</formula1>
    </dataValidation>
    <dataValidation type="list" sqref="Z14" allowBlank="true" errorStyle="stop" showErrorMessage="true" showInputMessage="true">
      <formula1>"Envíos por mi cuenta a cargo del comprador,Envíos gratis por mi cuenta,No realizo envíos"</formula1>
    </dataValidation>
    <dataValidation type="list" sqref="AA14" allowBlank="true" errorStyle="stop" showErrorMessage="true" showInputMessage="true">
      <formula1>"Activa,Inactiva"</formula1>
    </dataValidation>
    <dataValidation type="list" sqref="K15" allowBlank="true" errorStyle="stop" showErrorMessage="true" showInputMessage="true">
      <formula1>"Exento,0 %,10.5 %,21 %,27 %"</formula1>
    </dataValidation>
    <dataValidation type="list" sqref="L15" allowBlank="true" errorStyle="stop" showErrorMessage="true" showInputMessage="true">
      <formula1>"0 %,1 %,2.5 %,4 %,5 %,8 %,9.5 %,10 %,14 %,15 %,18 %,19 %,20 %,23 %,25 %,26 %,70 %"</formula1>
    </dataValidation>
    <dataValidation type="list" sqref="M15" allowBlank="true" errorStyle="stop" showErrorMessage="true" showInputMessage="true">
      <formula1>"$,US$"</formula1>
    </dataValidation>
    <dataValidation type="list" sqref="X15" allowBlank="true" errorStyle="stop" showErrorMessage="true" showInputMessage="true">
      <formula1>"Nuevo,Usado"</formula1>
    </dataValidation>
    <dataValidation type="list" sqref="Z15"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15" allowBlank="true" errorStyle="stop" showErrorMessage="true" showInputMessage="true">
      <formula1>"Activa,Inactiva"</formula1>
    </dataValidation>
    <dataValidation type="list" sqref="K16" allowBlank="true" errorStyle="stop" showErrorMessage="true" showInputMessage="true">
      <formula1>"Exento,0 %,10.5 %,21 %,27 %"</formula1>
    </dataValidation>
    <dataValidation type="list" sqref="L16" allowBlank="true" errorStyle="stop" showErrorMessage="true" showInputMessage="true">
      <formula1>"0 %,1 %,2.5 %,4 %,5 %,8 %,9.5 %,10 %,14 %,15 %,18 %,19 %,20 %,23 %,25 %,26 %,70 %"</formula1>
    </dataValidation>
    <dataValidation type="list" sqref="M16" allowBlank="true" errorStyle="stop" showErrorMessage="true" showInputMessage="true">
      <formula1>"$,US$"</formula1>
    </dataValidation>
    <dataValidation type="list" sqref="X16" allowBlank="true" errorStyle="stop" showErrorMessage="true" showInputMessage="true">
      <formula1>"Nuevo,Usado"</formula1>
    </dataValidation>
    <dataValidation type="list" sqref="Z16" allowBlank="true" errorStyle="stop" showErrorMessage="true" showInputMessage="true">
      <formula1>"Envíos por mi cuenta a cargo del comprador,Envíos gratis por mi cuenta,No realizo envíos"</formula1>
    </dataValidation>
    <dataValidation type="list" sqref="AA16" allowBlank="true" errorStyle="stop" showErrorMessage="true" showInputMessage="true">
      <formula1>"Activa,Inactiva"</formula1>
    </dataValidation>
    <dataValidation type="list" sqref="K17" allowBlank="true" errorStyle="stop" showErrorMessage="true" showInputMessage="true">
      <formula1>"Exento,0 %,10.5 %,21 %,27 %"</formula1>
    </dataValidation>
    <dataValidation type="list" sqref="L17" allowBlank="true" errorStyle="stop" showErrorMessage="true" showInputMessage="true">
      <formula1>"0 %,1 %,2.5 %,4 %,5 %,8 %,9.5 %,10 %,14 %,15 %,18 %,19 %,20 %,23 %,25 %,26 %,70 %"</formula1>
    </dataValidation>
    <dataValidation type="list" sqref="M17" allowBlank="true" errorStyle="stop" showErrorMessage="true" showInputMessage="true">
      <formula1>"$,US$"</formula1>
    </dataValidation>
    <dataValidation type="list" sqref="X17" allowBlank="true" errorStyle="stop" showErrorMessage="true" showInputMessage="true">
      <formula1>"Nuevo,Usado"</formula1>
    </dataValidation>
    <dataValidation type="list" sqref="Z17" allowBlank="true" errorStyle="stop" showErrorMessage="true" showInputMessage="true">
      <formula1>"Envíos por mi cuenta a cargo del comprador,Envíos gratis por mi cuenta,No realizo envíos"</formula1>
    </dataValidation>
    <dataValidation type="list" sqref="AA17" allowBlank="true" errorStyle="stop" showErrorMessage="true" showInputMessage="true">
      <formula1>"Activa,Inactiva"</formula1>
    </dataValidation>
    <dataValidation type="list" sqref="K18" allowBlank="true" errorStyle="stop" showErrorMessage="true" showInputMessage="true">
      <formula1>"Exento,0 %,10.5 %,21 %,27 %"</formula1>
    </dataValidation>
    <dataValidation type="list" sqref="L18" allowBlank="true" errorStyle="stop" showErrorMessage="true" showInputMessage="true">
      <formula1>"0 %,1 %,2.5 %,4 %,5 %,8 %,9.5 %,10 %,14 %,15 %,18 %,19 %,20 %,23 %,25 %,26 %,70 %"</formula1>
    </dataValidation>
    <dataValidation type="list" sqref="M18" allowBlank="true" errorStyle="stop" showErrorMessage="true" showInputMessage="true">
      <formula1>"$,US$"</formula1>
    </dataValidation>
    <dataValidation type="list" sqref="X18" allowBlank="true" errorStyle="stop" showErrorMessage="true" showInputMessage="true">
      <formula1>"Nuevo,Usado"</formula1>
    </dataValidation>
    <dataValidation type="list" sqref="Z18"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18" allowBlank="true" errorStyle="stop" showErrorMessage="true" showInputMessage="true">
      <formula1>"Activa,Inactiva"</formula1>
    </dataValidation>
    <dataValidation type="list" sqref="K19" allowBlank="true" errorStyle="stop" showErrorMessage="true" showInputMessage="true">
      <formula1>"Exento,0 %,10.5 %,21 %,27 %"</formula1>
    </dataValidation>
    <dataValidation type="list" sqref="L19" allowBlank="true" errorStyle="stop" showErrorMessage="true" showInputMessage="true">
      <formula1>"0 %,1 %,2.5 %,4 %,5 %,8 %,9.5 %,10 %,14 %,15 %,18 %,19 %,20 %,23 %,25 %,26 %,70 %"</formula1>
    </dataValidation>
    <dataValidation type="list" sqref="M19" allowBlank="true" errorStyle="stop" showErrorMessage="true" showInputMessage="true">
      <formula1>"$,US$"</formula1>
    </dataValidation>
    <dataValidation type="list" sqref="X19" allowBlank="true" errorStyle="stop" showErrorMessage="true" showInputMessage="true">
      <formula1>"Nuevo,Usado"</formula1>
    </dataValidation>
    <dataValidation type="list" sqref="Z19" allowBlank="true" errorStyle="stop" showErrorMessage="true" showInputMessage="true">
      <formula1>"Envíos por mi cuenta a cargo del comprador,Envíos gratis por mi cuenta,No realizo envíos"</formula1>
    </dataValidation>
    <dataValidation type="list" sqref="AA19" allowBlank="true" errorStyle="stop" showErrorMessage="true" showInputMessage="true">
      <formula1>"Activa,Inactiva"</formula1>
    </dataValidation>
    <dataValidation type="list" sqref="K20" allowBlank="true" errorStyle="stop" showErrorMessage="true" showInputMessage="true">
      <formula1>"Exento,0 %,10.5 %,21 %,27 %"</formula1>
    </dataValidation>
    <dataValidation type="list" sqref="L20" allowBlank="true" errorStyle="stop" showErrorMessage="true" showInputMessage="true">
      <formula1>"0 %,1 %,2.5 %,4 %,5 %,8 %,9.5 %,10 %,14 %,15 %,18 %,19 %,20 %,23 %,25 %,26 %,70 %"</formula1>
    </dataValidation>
    <dataValidation type="list" sqref="M20" allowBlank="true" errorStyle="stop" showErrorMessage="true" showInputMessage="true">
      <formula1>"$,US$"</formula1>
    </dataValidation>
    <dataValidation type="list" sqref="X20" allowBlank="true" errorStyle="stop" showErrorMessage="true" showInputMessage="true">
      <formula1>"Nuevo,Usado"</formula1>
    </dataValidation>
    <dataValidation type="list" sqref="Z20" allowBlank="true" errorStyle="stop" showErrorMessage="true" showInputMessage="true">
      <formula1>"Envíos por mi cuenta a cargo del comprador,Envíos gratis por mi cuenta,No realizo envíos"</formula1>
    </dataValidation>
    <dataValidation type="list" sqref="AA20" allowBlank="true" errorStyle="stop" showErrorMessage="true" showInputMessage="true">
      <formula1>"Activa,Inactiva"</formula1>
    </dataValidation>
    <dataValidation type="list" sqref="K21" allowBlank="true" errorStyle="stop" showErrorMessage="true" showInputMessage="true">
      <formula1>"Exento,0 %,10.5 %,21 %,27 %"</formula1>
    </dataValidation>
    <dataValidation type="list" sqref="L21" allowBlank="true" errorStyle="stop" showErrorMessage="true" showInputMessage="true">
      <formula1>"0 %,1 %,2.5 %,4 %,5 %,8 %,9.5 %,10 %,14 %,15 %,18 %,19 %,20 %,23 %,25 %,26 %,70 %"</formula1>
    </dataValidation>
    <dataValidation type="list" sqref="M21" allowBlank="true" errorStyle="stop" showErrorMessage="true" showInputMessage="true">
      <formula1>"$,US$"</formula1>
    </dataValidation>
    <dataValidation type="list" sqref="X21" allowBlank="true" errorStyle="stop" showErrorMessage="true" showInputMessage="true">
      <formula1>"Nuevo,Usado"</formula1>
    </dataValidation>
    <dataValidation type="list" sqref="Z21"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21" allowBlank="true" errorStyle="stop" showErrorMessage="true" showInputMessage="true">
      <formula1>"Activa,Inactiva"</formula1>
    </dataValidation>
    <dataValidation type="list" sqref="K22" allowBlank="true" errorStyle="stop" showErrorMessage="true" showInputMessage="true">
      <formula1>"Exento,0 %,10.5 %,21 %,27 %"</formula1>
    </dataValidation>
    <dataValidation type="list" sqref="L22" allowBlank="true" errorStyle="stop" showErrorMessage="true" showInputMessage="true">
      <formula1>"0 %,1 %,2.5 %,4 %,5 %,8 %,9.5 %,10 %,14 %,15 %,18 %,19 %,20 %,23 %,25 %,26 %,70 %"</formula1>
    </dataValidation>
    <dataValidation type="list" sqref="M22" allowBlank="true" errorStyle="stop" showErrorMessage="true" showInputMessage="true">
      <formula1>"$,US$"</formula1>
    </dataValidation>
    <dataValidation type="list" sqref="X22" allowBlank="true" errorStyle="stop" showErrorMessage="true" showInputMessage="true">
      <formula1>"Nuevo,Usado"</formula1>
    </dataValidation>
    <dataValidation type="list" sqref="Z22" allowBlank="true" errorStyle="stop" showErrorMessage="true" showInputMessage="true">
      <formula1>"Envíos por mi cuenta a cargo del comprador,Envíos gratis por mi cuenta,No realizo envíos"</formula1>
    </dataValidation>
    <dataValidation type="list" sqref="AA22" allowBlank="true" errorStyle="stop" showErrorMessage="true" showInputMessage="true">
      <formula1>"Activa,Inactiva"</formula1>
    </dataValidation>
    <dataValidation type="list" sqref="K23" allowBlank="true" errorStyle="stop" showErrorMessage="true" showInputMessage="true">
      <formula1>"Exento,0 %,10.5 %,21 %,27 %"</formula1>
    </dataValidation>
    <dataValidation type="list" sqref="L23" allowBlank="true" errorStyle="stop" showErrorMessage="true" showInputMessage="true">
      <formula1>"0 %,1 %,2.5 %,4 %,5 %,8 %,9.5 %,10 %,14 %,15 %,18 %,19 %,20 %,23 %,25 %,26 %,70 %"</formula1>
    </dataValidation>
    <dataValidation type="list" sqref="M23" allowBlank="true" errorStyle="stop" showErrorMessage="true" showInputMessage="true">
      <formula1>"$,US$"</formula1>
    </dataValidation>
    <dataValidation type="list" sqref="X23" allowBlank="true" errorStyle="stop" showErrorMessage="true" showInputMessage="true">
      <formula1>"Nuevo,Usado"</formula1>
    </dataValidation>
    <dataValidation type="list" sqref="Z23"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23" allowBlank="true" errorStyle="stop" showErrorMessage="true" showInputMessage="true">
      <formula1>"Activa,Inactiva"</formula1>
    </dataValidation>
    <dataValidation type="list" sqref="AD23" allowBlank="true" errorStyle="stop" showErrorMessage="true" showInputMessage="true">
      <formula1>"Agregar cuotas,No agregar cuotas"</formula1>
    </dataValidation>
    <dataValidation type="list" sqref="K24" allowBlank="true" errorStyle="stop" showErrorMessage="true" showInputMessage="true">
      <formula1>"Exento,0 %,10.5 %,21 %,27 %"</formula1>
    </dataValidation>
    <dataValidation type="list" sqref="L24" allowBlank="true" errorStyle="stop" showErrorMessage="true" showInputMessage="true">
      <formula1>"0 %,1 %,2.5 %,4 %,5 %,8 %,9.5 %,10 %,14 %,15 %,18 %,19 %,20 %,23 %,25 %,26 %,70 %"</formula1>
    </dataValidation>
    <dataValidation type="list" sqref="M24" allowBlank="true" errorStyle="stop" showErrorMessage="true" showInputMessage="true">
      <formula1>"$,US$"</formula1>
    </dataValidation>
    <dataValidation type="list" sqref="X24" allowBlank="true" errorStyle="stop" showErrorMessage="true" showInputMessage="true">
      <formula1>"Nuevo,Usado"</formula1>
    </dataValidation>
    <dataValidation type="list" sqref="Z24"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24" allowBlank="true" errorStyle="stop" showErrorMessage="true" showInputMessage="true">
      <formula1>"Activa,Inactiva"</formula1>
    </dataValidation>
    <dataValidation type="list" sqref="K25" allowBlank="true" errorStyle="stop" showErrorMessage="true" showInputMessage="true">
      <formula1>"Exento,0 %,10.5 %,21 %,27 %"</formula1>
    </dataValidation>
    <dataValidation type="list" sqref="L25" allowBlank="true" errorStyle="stop" showErrorMessage="true" showInputMessage="true">
      <formula1>"0 %,1 %,2.5 %,4 %,5 %,8 %,9.5 %,10 %,14 %,15 %,18 %,19 %,20 %,23 %,25 %,26 %,70 %"</formula1>
    </dataValidation>
    <dataValidation type="list" sqref="M25" allowBlank="true" errorStyle="stop" showErrorMessage="true" showInputMessage="true">
      <formula1>"$,US$"</formula1>
    </dataValidation>
    <dataValidation type="list" sqref="X25" allowBlank="true" errorStyle="stop" showErrorMessage="true" showInputMessage="true">
      <formula1>"Nuevo,Usado"</formula1>
    </dataValidation>
    <dataValidation type="list" sqref="Z25" allowBlank="true" errorStyle="stop" showErrorMessage="true" showInputMessage="true">
      <formula1>"Envíos por mi cuenta a cargo del comprador,Envíos gratis por mi cuenta,No realizo envíos"</formula1>
    </dataValidation>
    <dataValidation type="list" sqref="AA25" allowBlank="true" errorStyle="stop" showErrorMessage="true" showInputMessage="true">
      <formula1>"Activa,Inactiva"</formula1>
    </dataValidation>
    <dataValidation type="list" sqref="K26" allowBlank="true" errorStyle="stop" showErrorMessage="true" showInputMessage="true">
      <formula1>"Exento,0 %,10.5 %,21 %,27 %"</formula1>
    </dataValidation>
    <dataValidation type="list" sqref="L26" allowBlank="true" errorStyle="stop" showErrorMessage="true" showInputMessage="true">
      <formula1>"0 %,1 %,2.5 %,4 %,5 %,8 %,9.5 %,10 %,14 %,15 %,18 %,19 %,20 %,23 %,25 %,26 %,70 %"</formula1>
    </dataValidation>
    <dataValidation type="list" sqref="M26" allowBlank="true" errorStyle="stop" showErrorMessage="true" showInputMessage="true">
      <formula1>"$,US$"</formula1>
    </dataValidation>
    <dataValidation type="list" sqref="X26" allowBlank="true" errorStyle="stop" showErrorMessage="true" showInputMessage="true">
      <formula1>"Nuevo,Usado"</formula1>
    </dataValidation>
    <dataValidation type="list" sqref="Z26"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26" allowBlank="true" errorStyle="stop" showErrorMessage="true" showInputMessage="true">
      <formula1>"Activa,Inactiva"</formula1>
    </dataValidation>
    <dataValidation type="list" sqref="K27" allowBlank="true" errorStyle="stop" showErrorMessage="true" showInputMessage="true">
      <formula1>"Exento,0 %,10.5 %,21 %,27 %"</formula1>
    </dataValidation>
    <dataValidation type="list" sqref="L27" allowBlank="true" errorStyle="stop" showErrorMessage="true" showInputMessage="true">
      <formula1>"0 %,1 %,2.5 %,4 %,5 %,8 %,9.5 %,10 %,14 %,15 %,18 %,19 %,20 %,23 %,25 %,26 %,70 %"</formula1>
    </dataValidation>
    <dataValidation type="list" sqref="M27" allowBlank="true" errorStyle="stop" showErrorMessage="true" showInputMessage="true">
      <formula1>"$,US$"</formula1>
    </dataValidation>
    <dataValidation type="list" sqref="X27" allowBlank="true" errorStyle="stop" showErrorMessage="true" showInputMessage="true">
      <formula1>"Nuevo,Usado"</formula1>
    </dataValidation>
    <dataValidation type="list" sqref="Z27"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27" allowBlank="true" errorStyle="stop" showErrorMessage="true" showInputMessage="true">
      <formula1>"Activa,Inactiva"</formula1>
    </dataValidation>
    <dataValidation type="list" sqref="K28" allowBlank="true" errorStyle="stop" showErrorMessage="true" showInputMessage="true">
      <formula1>"Exento,0 %,10.5 %,21 %,27 %"</formula1>
    </dataValidation>
    <dataValidation type="list" sqref="L28" allowBlank="true" errorStyle="stop" showErrorMessage="true" showInputMessage="true">
      <formula1>"0 %,1 %,2.5 %,4 %,5 %,8 %,9.5 %,10 %,14 %,15 %,18 %,19 %,20 %,23 %,25 %,26 %,70 %"</formula1>
    </dataValidation>
    <dataValidation type="list" sqref="M28" allowBlank="true" errorStyle="stop" showErrorMessage="true" showInputMessage="true">
      <formula1>"$,US$"</formula1>
    </dataValidation>
    <dataValidation type="list" sqref="X28" allowBlank="true" errorStyle="stop" showErrorMessage="true" showInputMessage="true">
      <formula1>"Nuevo,Usado"</formula1>
    </dataValidation>
    <dataValidation type="list" sqref="Z28" allowBlank="true" errorStyle="stop" showErrorMessage="true" showInputMessage="true">
      <formula1>"Mercado Envíos a cargo del comprador,Mercado Envíos gratis,Envíos por mi cuenta a cargo del comprador,Envíos gratis por mi cuenta,No realizo envíos"</formula1>
    </dataValidation>
    <dataValidation type="list" sqref="AA28" allowBlank="true" errorStyle="stop" showErrorMessage="true" showInputMessage="true">
      <formula1>"Activa,Inactiva"</formula1>
    </dataValidation>
    <dataValidation type="list" sqref="AD28" allowBlank="true" errorStyle="stop" showErrorMessage="true" showInputMessage="true">
      <formula1>"Agregar cuotas,No agregar cuotas"</formula1>
    </dataValidation>
    <dataValidation type="list" sqref="K29" allowBlank="true" errorStyle="stop" showErrorMessage="true" showInputMessage="true">
      <formula1>"Exento,0 %,10.5 %,21 %,27 %"</formula1>
    </dataValidation>
    <dataValidation type="list" sqref="L29" allowBlank="true" errorStyle="stop" showErrorMessage="true" showInputMessage="true">
      <formula1>"0 %,1 %,2.5 %,4 %,5 %,8 %,9.5 %,10 %,14 %,15 %,18 %,19 %,20 %,23 %,25 %,26 %,70 %"</formula1>
    </dataValidation>
    <dataValidation type="list" sqref="M29" allowBlank="true" errorStyle="stop" showErrorMessage="true" showInputMessage="true">
      <formula1>"$,US$"</formula1>
    </dataValidation>
    <dataValidation type="list" sqref="X29" allowBlank="true" errorStyle="stop" showErrorMessage="true" showInputMessage="true">
      <formula1>"Nuevo,Usado"</formula1>
    </dataValidation>
    <dataValidation type="list" sqref="Z29" allowBlank="true" errorStyle="stop" showErrorMessage="true" showInputMessage="true">
      <formula1>"Envíos por mi cuenta a cargo del comprador,Envíos gratis por mi cuenta,No realizo envíos"</formula1>
    </dataValidation>
    <dataValidation type="list" sqref="AA29" allowBlank="true" errorStyle="stop" showErrorMessage="true" showInputMessage="true">
      <formula1>"Activa,Inactiva"</formula1>
    </dataValidation>
    <dataValidation type="list" sqref="K30" allowBlank="true" errorStyle="stop" showErrorMessage="true" showInputMessage="true">
      <formula1>"Exento,0 %,10.5 %,21 %,27 %"</formula1>
    </dataValidation>
    <dataValidation type="list" sqref="L30" allowBlank="true" errorStyle="stop" showErrorMessage="true" showInputMessage="true">
      <formula1>"0 %,1 %,2.5 %,4 %,5 %,8 %,9.5 %,10 %,14 %,15 %,18 %,19 %,20 %,23 %,25 %,26 %,70 %"</formula1>
    </dataValidation>
    <dataValidation type="list" sqref="M30" allowBlank="true" errorStyle="stop" showErrorMessage="true" showInputMessage="true">
      <formula1>"$,US$"</formula1>
    </dataValidation>
    <dataValidation type="list" sqref="X30" allowBlank="true" errorStyle="stop" showErrorMessage="true" showInputMessage="true">
      <formula1>"Nuevo,Usado"</formula1>
    </dataValidation>
    <dataValidation type="list" sqref="Z30" allowBlank="true" errorStyle="stop" showErrorMessage="true" showInputMessage="true">
      <formula1>"Envíos por mi cuenta a cargo del comprador,Envíos gratis por mi cuenta,No realizo envíos"</formula1>
    </dataValidation>
    <dataValidation type="list" sqref="AA30" allowBlank="true" errorStyle="stop" showErrorMessage="true" showInputMessage="true">
      <formula1>"Activa,Inactiva"</formula1>
    </dataValidation>
  </dataValidations>
  <hyperlinks>
    <hyperlink ref="X6" r:id="rId1"/>
  </hyperlinks>
  <pageMargins bottom="0.75" footer="0.3" header="0.3" left="0.7" right="0.7" top="0.75"/>
  <ignoredErrors>
    <ignoredError sqref="A5:A10001" numberStoredAsText="true"/>
    <ignoredError sqref="B5:B10001" numberStoredAsText="true"/>
    <ignoredError sqref="C5:C10001" numberStoredAsText="true"/>
    <ignoredError sqref="D5:D10001" numberStoredAsText="true"/>
    <ignoredError sqref="E5:E10001" numberStoredAsText="true"/>
    <ignoredError sqref="F5:F10001" numberStoredAsText="true"/>
    <ignoredError sqref="G5:G10001" numberStoredAsText="true"/>
    <ignoredError sqref="H5:H10001" numberStoredAsText="true"/>
    <ignoredError sqref="I5:I10001" numberStoredAsText="true"/>
    <ignoredError sqref="J5:J10001" numberStoredAsText="true"/>
    <ignoredError sqref="K5:K10001" numberStoredAsText="true"/>
    <ignoredError sqref="L5:L10001" numberStoredAsText="true"/>
    <ignoredError sqref="M5:M10001" numberStoredAsText="true"/>
    <ignoredError sqref="N5:N10001" numberStoredAsText="true"/>
    <ignoredError sqref="O5:O10001" numberStoredAsText="true"/>
    <ignoredError sqref="P5:P10001" numberStoredAsText="true"/>
    <ignoredError sqref="Q5:Q10001" numberStoredAsText="true"/>
    <ignoredError sqref="R5:R10001" numberStoredAsText="true"/>
    <ignoredError sqref="S5:S10001" numberStoredAsText="true"/>
    <ignoredError sqref="T5:T10001" numberStoredAsText="true"/>
    <ignoredError sqref="U5:U10001" numberStoredAsText="true"/>
    <ignoredError sqref="V5:V10001" numberStoredAsText="true"/>
    <ignoredError sqref="W5:W10001" numberStoredAsText="true"/>
    <ignoredError sqref="X5:X10001" numberStoredAsText="true"/>
    <ignoredError sqref="Y5:Y10001" numberStoredAsText="true"/>
    <ignoredError sqref="Z5:Z10001" numberStoredAsText="true"/>
    <ignoredError sqref="AA5:AA10001" numberStoredAsText="true"/>
    <ignoredError sqref="AB5:AB10001" numberStoredAsText="true"/>
    <ignoredError sqref="AC5:AC10001" numberStoredAsText="true"/>
    <ignoredError sqref="AD5:AD10001" numberStoredAsText="true"/>
    <ignoredError sqref="AE5:AE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